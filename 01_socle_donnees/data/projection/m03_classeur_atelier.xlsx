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ez-moi" sheetId="1" state="visible" r:id="rId1"/>
    <sheet xmlns:r="http://schemas.openxmlformats.org/officeDocument/2006/relationships" name="ventes_brutes" sheetId="2" state="visible" r:id="rId2"/>
    <sheet xmlns:r="http://schemas.openxmlformats.org/officeDocument/2006/relationships" name="ventes" sheetId="3" state="visible" r:id="rId3"/>
    <sheet xmlns:r="http://schemas.openxmlformats.org/officeDocument/2006/relationships" name="produit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magasins" sheetId="6" state="visible" r:id="rId6"/>
    <sheet xmlns:r="http://schemas.openxmlformats.org/officeDocument/2006/relationships" name="vendeurs" sheetId="7" state="visible" r:id="rId7"/>
    <sheet xmlns:r="http://schemas.openxmlformats.org/officeDocument/2006/relationships" name="objectifs" sheetId="8" state="visible" r:id="rId8"/>
    <sheet xmlns:r="http://schemas.openxmlformats.org/officeDocument/2006/relationships" name="Calculs" sheetId="9" state="visible" r:id="rId9"/>
    <sheet xmlns:r="http://schemas.openxmlformats.org/officeDocument/2006/relationships" name="TCD" sheetId="10" state="visible" r:id="rId10"/>
    <sheet xmlns:r="http://schemas.openxmlformats.org/officeDocument/2006/relationships" name="Mensuel" sheetId="11" state="visible" r:id="rId11"/>
  </sheets>
  <definedNames>
    <definedName name="_xlnm._FilterDatabase" localSheetId="1" hidden="1">'ventes_brutes'!$A$1:$M$490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# ##0 &quot;FCFA&quot;"/>
    <numFmt numFmtId="166" formatCode="DD/MM/YYYY"/>
    <numFmt numFmtId="167" formatCode="#,##0.####"/>
    <numFmt numFmtId="168" formatCode="0.000%"/>
    <numFmt numFmtId="169" formatCode="0,0%"/>
  </numFmts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Menlo"/>
      <sz val="9"/>
    </font>
  </fonts>
  <fills count="4">
    <fill>
      <patternFill/>
    </fill>
    <fill>
      <patternFill patternType="gray125"/>
    </fill>
    <fill>
      <patternFill patternType="solid">
        <fgColor rgb="00EDF3F8"/>
      </patternFill>
    </fill>
    <fill>
      <patternFill patternType="solid">
        <fgColor rgb="00F7F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1" fillId="3" borderId="0" pivotButton="0" quotePrefix="0" xfId="0"/>
    <xf numFmtId="165" fontId="1" fillId="3" borderId="0" pivotButton="0" quotePrefix="0" xfId="0"/>
    <xf numFmtId="169" fontId="1" fillId="3" borderId="0" pivotButton="0" quotePrefix="0" xfId="0"/>
    <xf numFmtId="9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eVentes" displayName="TableVentes" ref="A1:M481" headerRowCount="1">
  <autoFilter ref="A1:M481"/>
  <tableColumns count="13">
    <tableColumn id="1" name="n_ticket"/>
    <tableColumn id="2" name="date"/>
    <tableColumn id="3" name="heure"/>
    <tableColumn id="4" name="magasin"/>
    <tableColumn id="5" name="vendeur"/>
    <tableColumn id="6" name="client"/>
    <tableColumn id="7" name="produit"/>
    <tableColumn id="8" name="categorie"/>
    <tableColumn id="9" name="quantite"/>
    <tableColumn id="10" name="prix_unitaire_ht"/>
    <tableColumn id="11" name="remise"/>
    <tableColumn id="12" name="montant_ht"/>
    <tableColumn id="13" name="montant_ttc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Classeur d'atelier — module M03 (Excel pour l'analyse de données)</t>
        </is>
      </c>
    </row>
    <row r="2">
      <c r="A2" t="inlineStr"/>
    </row>
    <row r="3">
      <c r="A3" s="2" t="inlineStr">
        <is>
          <t>Généré le 2026-09-18 par tools/classeur_M03.py. Ne pas modifier à la main : toute valeur de contrôle provient de 01_socle_donnees/data/reference/chiffres_cites.md.</t>
        </is>
      </c>
    </row>
    <row r="4">
      <c r="A4" t="inlineStr"/>
    </row>
    <row r="5">
      <c r="A5" s="1" t="inlineStr">
        <is>
          <t>Feuilles et à quoi elles servent :</t>
        </is>
      </c>
    </row>
    <row r="6">
      <c r="A6" t="inlineStr">
        <is>
          <t xml:space="preserve">  ventes_brutes — le fichier REÇU par l'entreprise : 489 lignes × 13 colonnes, tout en texte, défauts compris (montants avec séparateur, dates manuscrites, doublons).</t>
        </is>
      </c>
    </row>
    <row r="7">
      <c r="A7" t="inlineStr">
        <is>
          <t xml:space="preserve">  ventes — le fichier NETTOYÉ (l'attendu du projet M01) : 480 lignes, types corrigés, montants en nombres. C'est la feuille de travail du module.</t>
        </is>
      </c>
    </row>
    <row r="8">
      <c r="A8" t="inlineStr">
        <is>
          <t xml:space="preserve">  produits · clients · magasins · vendeurs · objectifs — les référentiels, pour les recherches (RECHERCHEX, INDEX/EQUIV) et le rapprochement des objectifs.</t>
        </is>
      </c>
    </row>
    <row r="9">
      <c r="A9" t="inlineStr">
        <is>
          <t xml:space="preserve">  Calculs — une ligne par fonction de la fiche : le nom affiché, la formule telle qu'elle est stockée, la valeur attendue, la valeur rendue, et une colonne de contrôle.</t>
        </is>
      </c>
    </row>
    <row r="10">
      <c r="A10" t="inlineStr">
        <is>
          <t xml:space="preserve">  TCD — le tableau croisé que votre TCD doit reproduire, construit au COUNTIFS/SUMIFS. Si votre TCD ne rend pas ces nombres, l'un des deux a tort.</t>
        </is>
      </c>
    </row>
    <row r="11">
      <c r="A11" t="inlineStr">
        <is>
          <t xml:space="preserve">  Mensuel — le chiffre d'affaires mois par mois et l'objectif correspondant, avec le doute à lire avant toute conclusion de performance.</t>
        </is>
      </c>
    </row>
    <row r="12">
      <c r="A12" t="inlineStr"/>
    </row>
    <row r="13">
      <c r="A13" s="1" t="inlineStr">
        <is>
          <t>Trois choses à vérifier avant de toucher à une formule :</t>
        </is>
      </c>
    </row>
    <row r="14">
      <c r="A14" t="inlineStr">
        <is>
          <t xml:space="preserve">  1. la barre de formule montre ce que la cellule CONTIENT ; l'affichage montre ce qu'elle MONTRE ;</t>
        </is>
      </c>
    </row>
    <row r="15">
      <c r="A15" t="inlineStr">
        <is>
          <t xml:space="preserve">  2. 486 montants sur 489 de la feuille ventes_brutes sont du texte : un =SOMME() y renvoie 0, et ce n'est pas une erreur du tableur ;</t>
        </is>
      </c>
    </row>
    <row r="16">
      <c r="A16" t="inlineStr">
        <is>
          <t xml:space="preserve">  3. la dernière cellule utilisée de la feuille ventes est N481 : 13 colonnes de données plus la colonne utilitaire ; le fichier plat, lui, s'arrête en M481. Si votre sélection s'arrête avant, vous perdez des lignes sans le savoir.</t>
        </is>
      </c>
    </row>
    <row r="17">
      <c r="A17" t="inlineStr"/>
    </row>
    <row r="18">
      <c r="A18" s="2" t="inlineStr">
        <is>
          <t>En cas d'écart avec le manuel : relancer `python3 01_socle_donnees/scripts/chiffres_manuel.py M01 M02 M03` puis `python3 tools/classeur_M03.py`.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7" customWidth="1" min="3" max="3"/>
    <col width="26" customWidth="1" min="4" max="4"/>
    <col width="20" customWidth="1" min="5" max="5"/>
    <col width="8" customWidth="1" min="6" max="6"/>
    <col width="40" customWidth="1" min="7" max="7"/>
    <col width="14" customWidth="1" min="8" max="8"/>
    <col width="9" customWidth="1" min="9" max="9"/>
    <col width="13" customWidth="1" min="10" max="10"/>
    <col width="8" customWidth="1" min="11" max="11"/>
    <col width="12" customWidth="1" min="12" max="12"/>
    <col width="13" customWidth="1" min="13" max="13"/>
  </cols>
  <sheetData>
    <row r="1">
      <c r="A1" s="3" t="inlineStr">
        <is>
          <t>n_ticket</t>
        </is>
      </c>
      <c r="B1" s="3" t="inlineStr">
        <is>
          <t>date</t>
        </is>
      </c>
      <c r="C1" s="3" t="inlineStr">
        <is>
          <t>heure</t>
        </is>
      </c>
      <c r="D1" s="3" t="inlineStr">
        <is>
          <t>magasin</t>
        </is>
      </c>
      <c r="E1" s="3" t="inlineStr">
        <is>
          <t>vendeur</t>
        </is>
      </c>
      <c r="F1" s="3" t="inlineStr">
        <is>
          <t>client</t>
        </is>
      </c>
      <c r="G1" s="3" t="inlineStr">
        <is>
          <t>produit</t>
        </is>
      </c>
      <c r="H1" s="3" t="inlineStr">
        <is>
          <t>categorie</t>
        </is>
      </c>
      <c r="I1" s="3" t="inlineStr">
        <is>
          <t>quantite</t>
        </is>
      </c>
      <c r="J1" s="3" t="inlineStr">
        <is>
          <t>prix_unitaire_ht</t>
        </is>
      </c>
      <c r="K1" s="3" t="inlineStr">
        <is>
          <t>remise</t>
        </is>
      </c>
      <c r="L1" s="3" t="inlineStr">
        <is>
          <t>montant_ht</t>
        </is>
      </c>
      <c r="M1" s="3" t="inlineStr">
        <is>
          <t>montant_ttc</t>
        </is>
      </c>
    </row>
    <row r="2">
      <c r="A2" t="inlineStr">
        <is>
          <t>T05-250101-075845</t>
        </is>
      </c>
      <c r="B2" t="inlineStr">
        <is>
          <t>2025-01-01</t>
        </is>
      </c>
      <c r="C2" t="inlineStr">
        <is>
          <t>11:01</t>
        </is>
      </c>
      <c r="D2" t="inlineStr">
        <is>
          <t>Magasin 5 — Kaya Marché</t>
        </is>
      </c>
      <c r="E2" t="inlineStr">
        <is>
          <t>Moussa Ilboudo</t>
        </is>
      </c>
      <c r="F2" t="inlineStr">
        <is>
          <t>10857</t>
        </is>
      </c>
      <c r="G2" t="inlineStr">
        <is>
          <t>Plâtre de construction 25 kg — réf 1</t>
        </is>
      </c>
      <c r="H2" t="inlineStr">
        <is>
          <t>Matériaux</t>
        </is>
      </c>
      <c r="I2" t="inlineStr">
        <is>
          <t>11</t>
        </is>
      </c>
      <c r="J2" t="inlineStr">
        <is>
          <t>4500</t>
        </is>
      </c>
      <c r="K2" t="inlineStr">
        <is>
          <t>0.03</t>
        </is>
      </c>
      <c r="L2" t="inlineStr">
        <is>
          <t>48015</t>
        </is>
      </c>
      <c r="M2" t="inlineStr">
        <is>
          <t>56 658</t>
        </is>
      </c>
    </row>
    <row r="3">
      <c r="A3" t="inlineStr">
        <is>
          <t>T05-250101-075846</t>
        </is>
      </c>
      <c r="B3" t="inlineStr">
        <is>
          <t>2025-01-01</t>
        </is>
      </c>
      <c r="C3" t="inlineStr">
        <is>
          <t>09:32</t>
        </is>
      </c>
      <c r="D3" t="inlineStr">
        <is>
          <t>Magasin 5 — Kaya Marché</t>
        </is>
      </c>
      <c r="E3" t="inlineStr">
        <is>
          <t>Salamatu Sankara</t>
        </is>
      </c>
      <c r="F3" t="inlineStr">
        <is>
          <t>0</t>
        </is>
      </c>
      <c r="G3" t="inlineStr">
        <is>
          <t>Gravier 15/25 (m3) — réf 2</t>
        </is>
      </c>
      <c r="H3" t="inlineStr">
        <is>
          <t>Matériaux</t>
        </is>
      </c>
      <c r="I3" t="inlineStr">
        <is>
          <t>2000</t>
        </is>
      </c>
      <c r="J3" t="inlineStr">
        <is>
          <t>21950</t>
        </is>
      </c>
      <c r="K3" t="inlineStr">
        <is>
          <t>0.0</t>
        </is>
      </c>
      <c r="L3" t="inlineStr">
        <is>
          <t>43900</t>
        </is>
      </c>
      <c r="M3" t="inlineStr">
        <is>
          <t>51 802</t>
        </is>
      </c>
    </row>
    <row r="4">
      <c r="A4" t="inlineStr">
        <is>
          <t>T05-250101-075847</t>
        </is>
      </c>
      <c r="B4" t="inlineStr">
        <is>
          <t>2025-01-01</t>
        </is>
      </c>
      <c r="C4" t="inlineStr">
        <is>
          <t>07:51</t>
        </is>
      </c>
      <c r="D4" t="inlineStr">
        <is>
          <t>Magasin 5 — Kaya Marché</t>
        </is>
      </c>
      <c r="E4" t="inlineStr">
        <is>
          <t>Salamatu Sankara</t>
        </is>
      </c>
      <c r="F4" t="inlineStr">
        <is>
          <t>17552</t>
        </is>
      </c>
      <c r="G4" t="inlineStr">
        <is>
          <t>Sable de rivière (m3) — réf 1</t>
        </is>
      </c>
      <c r="H4" t="inlineStr">
        <is>
          <t>Matériaux</t>
        </is>
      </c>
      <c r="I4" t="inlineStr">
        <is>
          <t>2</t>
        </is>
      </c>
      <c r="J4" t="inlineStr">
        <is>
          <t>25775</t>
        </is>
      </c>
      <c r="K4" t="inlineStr">
        <is>
          <t>0.04</t>
        </is>
      </c>
      <c r="L4" t="inlineStr">
        <is>
          <t>49488</t>
        </is>
      </c>
      <c r="M4" t="inlineStr">
        <is>
          <t>58 396</t>
        </is>
      </c>
    </row>
    <row r="5">
      <c r="A5" t="inlineStr">
        <is>
          <t>T05-250101-075848</t>
        </is>
      </c>
      <c r="B5" t="inlineStr">
        <is>
          <t>2025-01-01</t>
        </is>
      </c>
      <c r="C5" t="inlineStr">
        <is>
          <t>15:17</t>
        </is>
      </c>
      <c r="D5" t="inlineStr">
        <is>
          <t>Magasin 5 — Kaya Marché</t>
        </is>
      </c>
      <c r="E5" t="inlineStr">
        <is>
          <t>Adama Bationo</t>
        </is>
      </c>
      <c r="F5" t="inlineStr">
        <is>
          <t>2150</t>
        </is>
      </c>
      <c r="G5" t="inlineStr">
        <is>
          <t>Échelle aluminium 4 marches — réf 1</t>
        </is>
      </c>
      <c r="H5" t="inlineStr">
        <is>
          <t>Consommables</t>
        </is>
      </c>
      <c r="I5" t="inlineStr">
        <is>
          <t>6</t>
        </is>
      </c>
      <c r="J5" t="inlineStr">
        <is>
          <t>8275</t>
        </is>
      </c>
      <c r="K5" t="inlineStr">
        <is>
          <t>0.0</t>
        </is>
      </c>
      <c r="L5" t="inlineStr">
        <is>
          <t>49650</t>
        </is>
      </c>
      <c r="M5" t="inlineStr">
        <is>
          <t>58 587</t>
        </is>
      </c>
    </row>
    <row r="6">
      <c r="A6" t="inlineStr">
        <is>
          <t>T05-250101-075849</t>
        </is>
      </c>
      <c r="B6" t="inlineStr">
        <is>
          <t>2025-01-01</t>
        </is>
      </c>
      <c r="C6" t="inlineStr">
        <is>
          <t>10:33</t>
        </is>
      </c>
      <c r="D6" t="inlineStr">
        <is>
          <t>Magasin 5 — Kaya Marché</t>
        </is>
      </c>
      <c r="E6" t="inlineStr">
        <is>
          <t>Adama Bationo</t>
        </is>
      </c>
      <c r="F6" t="inlineStr">
        <is>
          <t>0</t>
        </is>
      </c>
      <c r="G6" t="inlineStr">
        <is>
          <t>Sable de rivière (m3) — réf 1</t>
        </is>
      </c>
      <c r="H6" t="inlineStr">
        <is>
          <t>Matériaux</t>
        </is>
      </c>
      <c r="I6" t="inlineStr">
        <is>
          <t>3</t>
        </is>
      </c>
      <c r="J6" t="inlineStr">
        <is>
          <t>26325</t>
        </is>
      </c>
      <c r="K6" t="inlineStr">
        <is>
          <t>0.0</t>
        </is>
      </c>
      <c r="L6" t="inlineStr">
        <is>
          <t>78975</t>
        </is>
      </c>
      <c r="M6" t="inlineStr">
        <is>
          <t>93 191</t>
        </is>
      </c>
    </row>
    <row r="7">
      <c r="A7" t="inlineStr">
        <is>
          <t>T05-250101-075850</t>
        </is>
      </c>
      <c r="B7" t="inlineStr">
        <is>
          <t>2025-01-01</t>
        </is>
      </c>
      <c r="C7" t="inlineStr">
        <is>
          <t>18:08</t>
        </is>
      </c>
      <c r="D7" t="inlineStr">
        <is>
          <t>Magasin 5 — Kaya Marché</t>
        </is>
      </c>
      <c r="E7" t="inlineStr">
        <is>
          <t>Moussa Ilboudo</t>
        </is>
      </c>
      <c r="F7" t="inlineStr">
        <is>
          <t>0</t>
        </is>
      </c>
      <c r="G7" t="inlineStr">
        <is>
          <t>Ciment CPJ45 50 kg — réf 2</t>
        </is>
      </c>
      <c r="H7" t="inlineStr">
        <is>
          <t>Matériaux</t>
        </is>
      </c>
      <c r="I7" t="inlineStr">
        <is>
          <t>12</t>
        </is>
      </c>
      <c r="J7" t="inlineStr">
        <is>
          <t>6550</t>
        </is>
      </c>
      <c r="K7" t="inlineStr">
        <is>
          <t>0.0</t>
        </is>
      </c>
      <c r="L7" t="inlineStr">
        <is>
          <t>78600</t>
        </is>
      </c>
      <c r="M7" t="inlineStr">
        <is>
          <t>92 748</t>
        </is>
      </c>
    </row>
    <row r="8">
      <c r="A8" t="inlineStr">
        <is>
          <t>T05-250101-075851</t>
        </is>
      </c>
      <c r="B8" t="inlineStr">
        <is>
          <t>2025-01-01</t>
        </is>
      </c>
      <c r="C8" t="inlineStr">
        <is>
          <t>13:22</t>
        </is>
      </c>
      <c r="D8" t="inlineStr">
        <is>
          <t>Magasin 5 — Kaya Marché</t>
        </is>
      </c>
      <c r="E8" t="inlineStr">
        <is>
          <t>Adama Bationo</t>
        </is>
      </c>
      <c r="F8" t="inlineStr">
        <is>
          <t>10176</t>
        </is>
      </c>
      <c r="G8" t="inlineStr">
        <is>
          <t>Hourdis creux 12 — réf 1</t>
        </is>
      </c>
      <c r="H8" t="inlineStr">
        <is>
          <t>Matériaux</t>
        </is>
      </c>
      <c r="I8" t="inlineStr">
        <is>
          <t>6</t>
        </is>
      </c>
      <c r="J8" t="inlineStr">
        <is>
          <t>1025</t>
        </is>
      </c>
      <c r="K8" t="inlineStr">
        <is>
          <t>0.0</t>
        </is>
      </c>
      <c r="L8" t="inlineStr">
        <is>
          <t>6150</t>
        </is>
      </c>
      <c r="M8" t="inlineStr">
        <is>
          <t>7 257</t>
        </is>
      </c>
    </row>
    <row r="9">
      <c r="A9" t="inlineStr">
        <is>
          <t>T05-250101-075852</t>
        </is>
      </c>
      <c r="B9" t="inlineStr">
        <is>
          <t>2025-01-01</t>
        </is>
      </c>
      <c r="C9" t="inlineStr">
        <is>
          <t>08:17</t>
        </is>
      </c>
      <c r="D9" t="inlineStr">
        <is>
          <t>Magasin 5 — Kaya Marché</t>
        </is>
      </c>
      <c r="E9" t="inlineStr">
        <is>
          <t>Boureima Ouédraogo</t>
        </is>
      </c>
      <c r="F9" t="inlineStr">
        <is>
          <t>11417</t>
        </is>
      </c>
      <c r="G9" t="inlineStr">
        <is>
          <t>Meuleuse 125 mm — réf 2</t>
        </is>
      </c>
      <c r="H9" t="inlineStr">
        <is>
          <t>Quincaillerie</t>
        </is>
      </c>
      <c r="I9" t="inlineStr">
        <is>
          <t>9</t>
        </is>
      </c>
      <c r="J9" t="inlineStr">
        <is>
          <t>5850</t>
        </is>
      </c>
      <c r="K9" t="inlineStr">
        <is>
          <t>0.0</t>
        </is>
      </c>
      <c r="L9" t="inlineStr">
        <is>
          <t>52650</t>
        </is>
      </c>
      <c r="M9" t="inlineStr">
        <is>
          <t>62 127</t>
        </is>
      </c>
    </row>
    <row r="10">
      <c r="A10" t="inlineStr">
        <is>
          <t>T05-250101-075853</t>
        </is>
      </c>
      <c r="B10" t="inlineStr">
        <is>
          <t>01/01/2025</t>
        </is>
      </c>
      <c r="C10" t="inlineStr">
        <is>
          <t>16:15</t>
        </is>
      </c>
      <c r="D10" t="inlineStr">
        <is>
          <t>Magasin 5 — Kaya Marché</t>
        </is>
      </c>
      <c r="E10" t="inlineStr">
        <is>
          <t>Salamatu Sankara</t>
        </is>
      </c>
      <c r="F10" t="inlineStr">
        <is>
          <t>1519</t>
        </is>
      </c>
      <c r="G10" t="inlineStr">
        <is>
          <t>Fil de fer recuit (kg) — réf 2</t>
        </is>
      </c>
      <c r="H10" t="inlineStr">
        <is>
          <t>Quincaillerie</t>
        </is>
      </c>
      <c r="I10" t="inlineStr">
        <is>
          <t>3</t>
        </is>
      </c>
      <c r="J10" t="inlineStr">
        <is>
          <t>2000</t>
        </is>
      </c>
      <c r="K10" t="inlineStr">
        <is>
          <t>0.04</t>
        </is>
      </c>
      <c r="L10" t="inlineStr">
        <is>
          <t>5760</t>
        </is>
      </c>
      <c r="M10" t="inlineStr">
        <is>
          <t>6 797</t>
        </is>
      </c>
    </row>
    <row r="11">
      <c r="A11" t="inlineStr">
        <is>
          <t>T05-250101-075854</t>
        </is>
      </c>
      <c r="B11" t="inlineStr">
        <is>
          <t>2025-01-01</t>
        </is>
      </c>
      <c r="C11" t="inlineStr">
        <is>
          <t>08:21</t>
        </is>
      </c>
      <c r="D11" t="inlineStr">
        <is>
          <t>Magasin 5 — Kaya Marché</t>
        </is>
      </c>
      <c r="E11" t="inlineStr">
        <is>
          <t>Salamatu Sankara</t>
        </is>
      </c>
      <c r="F11" t="inlineStr">
        <is>
          <t>6969</t>
        </is>
      </c>
      <c r="G11" t="inlineStr">
        <is>
          <t>Casque de chantier — réf 1</t>
        </is>
      </c>
      <c r="H11" t="inlineStr">
        <is>
          <t>Consommables</t>
        </is>
      </c>
      <c r="I11" t="inlineStr">
        <is>
          <t>2</t>
        </is>
      </c>
      <c r="J11" t="inlineStr">
        <is>
          <t>8300</t>
        </is>
      </c>
      <c r="K11" t="inlineStr">
        <is>
          <t>0.0</t>
        </is>
      </c>
      <c r="L11" t="inlineStr">
        <is>
          <t>16600</t>
        </is>
      </c>
      <c r="M11" t="inlineStr">
        <is>
          <t>19 588</t>
        </is>
      </c>
    </row>
    <row r="12">
      <c r="A12" t="inlineStr">
        <is>
          <t>T05-250101-075855</t>
        </is>
      </c>
      <c r="B12" t="inlineStr">
        <is>
          <t>2025-01-01</t>
        </is>
      </c>
      <c r="C12" t="inlineStr">
        <is>
          <t>15:35</t>
        </is>
      </c>
      <c r="D12" t="inlineStr">
        <is>
          <t>Magasin 5 — Kaya Marché</t>
        </is>
      </c>
      <c r="E12" t="inlineStr">
        <is>
          <t>Boureima Ouédraogo</t>
        </is>
      </c>
      <c r="F12" t="inlineStr">
        <is>
          <t>17857</t>
        </is>
      </c>
      <c r="G12" t="inlineStr">
        <is>
          <t>Sac de transport 100 kg — réf 1</t>
        </is>
      </c>
      <c r="H12" t="inlineStr">
        <is>
          <t>Consommables</t>
        </is>
      </c>
      <c r="I12" t="inlineStr">
        <is>
          <t>2</t>
        </is>
      </c>
      <c r="J12" t="inlineStr">
        <is>
          <t>8525</t>
        </is>
      </c>
      <c r="K12" t="inlineStr">
        <is>
          <t>0.07</t>
        </is>
      </c>
      <c r="L12" t="inlineStr">
        <is>
          <t>15856</t>
        </is>
      </c>
      <c r="M12" t="inlineStr">
        <is>
          <t>18 710</t>
        </is>
      </c>
    </row>
    <row r="13">
      <c r="A13" t="inlineStr">
        <is>
          <t>T05-250101-075856</t>
        </is>
      </c>
      <c r="B13" t="inlineStr">
        <is>
          <t>2025-01-01</t>
        </is>
      </c>
      <c r="C13" t="inlineStr">
        <is>
          <t>07:27</t>
        </is>
      </c>
      <c r="D13" t="inlineStr">
        <is>
          <t>Magasin 5 — Kaya Marché</t>
        </is>
      </c>
      <c r="E13" t="inlineStr">
        <is>
          <t>Boureima Ouédraogo</t>
        </is>
      </c>
      <c r="F13" t="inlineStr">
        <is>
          <t>17861</t>
        </is>
      </c>
      <c r="G13" t="inlineStr">
        <is>
          <t>Hourdis creux 12 — réf 1</t>
        </is>
      </c>
      <c r="H13" t="inlineStr">
        <is>
          <t>Matériaux</t>
        </is>
      </c>
      <c r="I13" t="inlineStr">
        <is>
          <t>8</t>
        </is>
      </c>
      <c r="J13" t="inlineStr">
        <is>
          <t>1075</t>
        </is>
      </c>
      <c r="K13" t="inlineStr">
        <is>
          <t>0.0</t>
        </is>
      </c>
      <c r="L13" t="inlineStr">
        <is>
          <t>8600</t>
        </is>
      </c>
      <c r="M13" t="inlineStr">
        <is>
          <t>10 148</t>
        </is>
      </c>
    </row>
    <row r="14">
      <c r="A14" t="inlineStr">
        <is>
          <t>T05-250101-075857</t>
        </is>
      </c>
      <c r="B14" t="inlineStr">
        <is>
          <t>2025-01-01</t>
        </is>
      </c>
      <c r="C14" t="inlineStr">
        <is>
          <t>18:25</t>
        </is>
      </c>
      <c r="D14" t="inlineStr">
        <is>
          <t>Magasin 5 — Kaya Marché</t>
        </is>
      </c>
      <c r="E14" t="inlineStr">
        <is>
          <t>Boureima Ouédraogo</t>
        </is>
      </c>
      <c r="F14" t="inlineStr">
        <is>
          <t>19433</t>
        </is>
      </c>
      <c r="G14" t="inlineStr">
        <is>
          <t>Coude PVC 90° 100 — réf 1</t>
        </is>
      </c>
      <c r="H14" t="inlineStr">
        <is>
          <t>Plomberie</t>
        </is>
      </c>
      <c r="I14" t="inlineStr">
        <is>
          <t>4</t>
        </is>
      </c>
      <c r="J14" t="inlineStr">
        <is>
          <t>4075</t>
        </is>
      </c>
      <c r="K14" t="inlineStr">
        <is>
          <t>0.03</t>
        </is>
      </c>
      <c r="L14" t="inlineStr">
        <is>
          <t>15811</t>
        </is>
      </c>
      <c r="M14" t="inlineStr">
        <is>
          <t>18 657</t>
        </is>
      </c>
    </row>
    <row r="15">
      <c r="A15" t="inlineStr">
        <is>
          <t>T05-250101-075858</t>
        </is>
      </c>
      <c r="B15" t="inlineStr">
        <is>
          <t>2025-01-01</t>
        </is>
      </c>
      <c r="C15" t="inlineStr">
        <is>
          <t>12:00</t>
        </is>
      </c>
      <c r="D15" t="inlineStr">
        <is>
          <t>Magasin 5 — Kaya Marché</t>
        </is>
      </c>
      <c r="E15" t="inlineStr">
        <is>
          <t>Adama Bationo</t>
        </is>
      </c>
      <c r="F15" t="inlineStr">
        <is>
          <t>0</t>
        </is>
      </c>
      <c r="G15" t="inlineStr">
        <is>
          <t>Raccord laiton 20/27 — réf 2</t>
        </is>
      </c>
      <c r="H15" t="inlineStr">
        <is>
          <t>Plomberie</t>
        </is>
      </c>
      <c r="I15" t="inlineStr">
        <is>
          <t>3</t>
        </is>
      </c>
      <c r="J15" t="inlineStr">
        <is>
          <t>4550</t>
        </is>
      </c>
      <c r="K15" t="inlineStr">
        <is>
          <t>0.0</t>
        </is>
      </c>
      <c r="L15" t="inlineStr">
        <is>
          <t>13650</t>
        </is>
      </c>
      <c r="M15" t="inlineStr">
        <is>
          <t>16 107</t>
        </is>
      </c>
    </row>
    <row r="16">
      <c r="A16" t="inlineStr">
        <is>
          <t>T05-250101-075859</t>
        </is>
      </c>
      <c r="B16" t="inlineStr">
        <is>
          <t>2025-01-01</t>
        </is>
      </c>
      <c r="C16" t="inlineStr">
        <is>
          <t>13:13</t>
        </is>
      </c>
      <c r="D16" t="inlineStr">
        <is>
          <t>Magasin 5 — Kaya Marché</t>
        </is>
      </c>
      <c r="E16" t="inlineStr">
        <is>
          <t>Adama Bationo</t>
        </is>
      </c>
      <c r="F16" t="inlineStr">
        <is>
          <t>4654</t>
        </is>
      </c>
      <c r="G16" t="inlineStr">
        <is>
          <t>Gravier 15/25 (m3) — réf 2</t>
        </is>
      </c>
      <c r="H16" t="inlineStr">
        <is>
          <t>Matériaux</t>
        </is>
      </c>
      <c r="I16" t="inlineStr">
        <is>
          <t>5</t>
        </is>
      </c>
      <c r="J16" t="inlineStr">
        <is>
          <t>21450</t>
        </is>
      </c>
      <c r="K16" t="inlineStr">
        <is>
          <t>0.0</t>
        </is>
      </c>
      <c r="L16" t="inlineStr">
        <is>
          <t>107250</t>
        </is>
      </c>
      <c r="M16" t="inlineStr">
        <is>
          <t>126 555</t>
        </is>
      </c>
    </row>
    <row r="17">
      <c r="A17" t="inlineStr">
        <is>
          <t>T05-250101-075860</t>
        </is>
      </c>
      <c r="B17" t="inlineStr">
        <is>
          <t>2025-01-01</t>
        </is>
      </c>
      <c r="C17" t="inlineStr">
        <is>
          <t>12:47</t>
        </is>
      </c>
      <c r="D17" t="inlineStr">
        <is>
          <t>Magasin 5 — Kaya Marché</t>
        </is>
      </c>
      <c r="E17" t="inlineStr">
        <is>
          <t>Adama Bationo</t>
        </is>
      </c>
      <c r="F17" t="inlineStr">
        <is>
          <t>125</t>
        </is>
      </c>
      <c r="G17" t="inlineStr">
        <is>
          <t>Pince coupante 200 mm — réf 1</t>
        </is>
      </c>
      <c r="H17" t="inlineStr">
        <is>
          <t>Quincaillerie</t>
        </is>
      </c>
      <c r="I17" t="inlineStr">
        <is>
          <t>2</t>
        </is>
      </c>
      <c r="J17" t="inlineStr">
        <is>
          <t>5325</t>
        </is>
      </c>
      <c r="K17" t="inlineStr">
        <is>
          <t>0.0</t>
        </is>
      </c>
      <c r="L17" t="inlineStr">
        <is>
          <t>10650</t>
        </is>
      </c>
      <c r="M17" t="inlineStr">
        <is>
          <t>12 567</t>
        </is>
      </c>
    </row>
    <row r="18">
      <c r="A18" t="inlineStr">
        <is>
          <t>T05-250101-075861</t>
        </is>
      </c>
      <c r="B18" t="inlineStr">
        <is>
          <t>2025-01-01</t>
        </is>
      </c>
      <c r="C18" t="inlineStr">
        <is>
          <t>17:29</t>
        </is>
      </c>
      <c r="D18" t="inlineStr">
        <is>
          <t>Magasin 5 — Kaya Marché</t>
        </is>
      </c>
      <c r="E18" t="inlineStr">
        <is>
          <t>Salamatu Sankara</t>
        </is>
      </c>
      <c r="F18" t="inlineStr">
        <is>
          <t>0</t>
        </is>
      </c>
      <c r="G18" t="inlineStr">
        <is>
          <t>Perforateur 800 W — réf 2</t>
        </is>
      </c>
      <c r="H18" t="inlineStr">
        <is>
          <t>Quincaillerie</t>
        </is>
      </c>
      <c r="I18" t="inlineStr">
        <is>
          <t>4</t>
        </is>
      </c>
      <c r="J18" t="inlineStr">
        <is>
          <t>5750</t>
        </is>
      </c>
      <c r="K18" t="inlineStr">
        <is>
          <t>0.0</t>
        </is>
      </c>
      <c r="L18" t="inlineStr">
        <is>
          <t>23000</t>
        </is>
      </c>
      <c r="M18" t="inlineStr">
        <is>
          <t>27 140</t>
        </is>
      </c>
    </row>
    <row r="19">
      <c r="A19" t="inlineStr">
        <is>
          <t>T05-250101-075862</t>
        </is>
      </c>
      <c r="B19" t="inlineStr">
        <is>
          <t>01/01/2025</t>
        </is>
      </c>
      <c r="C19" t="inlineStr">
        <is>
          <t>12:29</t>
        </is>
      </c>
      <c r="D19" t="inlineStr">
        <is>
          <t>Magasin 5 — Kaya Marché</t>
        </is>
      </c>
      <c r="E19" t="inlineStr">
        <is>
          <t>Adama Bationo</t>
        </is>
      </c>
      <c r="F19" t="inlineStr">
        <is>
          <t>21135</t>
        </is>
      </c>
      <c r="G19" t="inlineStr">
        <is>
          <t>Chasse d'eau 6 L — réf 2</t>
        </is>
      </c>
      <c r="H19" t="inlineStr">
        <is>
          <t>Plomberie</t>
        </is>
      </c>
      <c r="I19" t="inlineStr">
        <is>
          <t>1</t>
        </is>
      </c>
      <c r="J19" t="inlineStr">
        <is>
          <t>19925</t>
        </is>
      </c>
      <c r="K19" t="inlineStr">
        <is>
          <t>0.0</t>
        </is>
      </c>
      <c r="L19" t="inlineStr">
        <is>
          <t>19925</t>
        </is>
      </c>
      <c r="M19" t="inlineStr">
        <is>
          <t>23 511</t>
        </is>
      </c>
    </row>
    <row r="20">
      <c r="A20" t="inlineStr">
        <is>
          <t>T05-250101-075863</t>
        </is>
      </c>
      <c r="B20" t="inlineStr">
        <is>
          <t>01/01/2025</t>
        </is>
      </c>
      <c r="C20" t="inlineStr">
        <is>
          <t>08:54</t>
        </is>
      </c>
      <c r="D20" t="inlineStr">
        <is>
          <t>Magasin 5 — Kaya Marché</t>
        </is>
      </c>
      <c r="E20" t="inlineStr">
        <is>
          <t>Adama Bationo</t>
        </is>
      </c>
      <c r="F20" t="inlineStr">
        <is>
          <t>20824</t>
        </is>
      </c>
      <c r="G20" t="inlineStr">
        <is>
          <t>Régulateur de charge 10 A — réf 2</t>
        </is>
      </c>
      <c r="H20" t="inlineStr">
        <is>
          <t>Electricité</t>
        </is>
      </c>
      <c r="I20" t="inlineStr">
        <is>
          <t>4</t>
        </is>
      </c>
      <c r="J20" t="inlineStr">
        <is>
          <t>11625</t>
        </is>
      </c>
      <c r="K20" t="inlineStr">
        <is>
          <t>0.0</t>
        </is>
      </c>
      <c r="L20" t="inlineStr">
        <is>
          <t>46500</t>
        </is>
      </c>
      <c r="M20" t="inlineStr">
        <is>
          <t>54 870</t>
        </is>
      </c>
    </row>
    <row r="21">
      <c r="A21" t="inlineStr">
        <is>
          <t>T05-250101-075864</t>
        </is>
      </c>
      <c r="B21" t="inlineStr">
        <is>
          <t>2025-01-01</t>
        </is>
      </c>
      <c r="C21" t="inlineStr">
        <is>
          <t>16:58</t>
        </is>
      </c>
      <c r="D21" t="inlineStr">
        <is>
          <t>Magasin 5 — Kaya Marché</t>
        </is>
      </c>
      <c r="E21" t="inlineStr">
        <is>
          <t>Salamatu Sankara</t>
        </is>
      </c>
      <c r="F21" t="inlineStr"/>
      <c r="G21" t="inlineStr">
        <is>
          <t>Colle à carrelage 25 kg — réf 2</t>
        </is>
      </c>
      <c r="H21" t="inlineStr">
        <is>
          <t>Matériaux</t>
        </is>
      </c>
      <c r="I21" t="inlineStr">
        <is>
          <t>14</t>
        </is>
      </c>
      <c r="J21" t="inlineStr">
        <is>
          <t>4450</t>
        </is>
      </c>
      <c r="K21" t="inlineStr">
        <is>
          <t>0.0</t>
        </is>
      </c>
      <c r="L21" t="inlineStr">
        <is>
          <t>62300</t>
        </is>
      </c>
      <c r="M21" t="inlineStr">
        <is>
          <t>73 514</t>
        </is>
      </c>
    </row>
    <row r="22">
      <c r="A22" t="inlineStr">
        <is>
          <t>T05-250101-075865</t>
        </is>
      </c>
      <c r="B22" t="inlineStr">
        <is>
          <t>01/01/2025</t>
        </is>
      </c>
      <c r="C22" t="inlineStr">
        <is>
          <t>08:16</t>
        </is>
      </c>
      <c r="D22" t="inlineStr">
        <is>
          <t>Magasin 5 — Kaya Marché</t>
        </is>
      </c>
      <c r="E22" t="inlineStr">
        <is>
          <t>Adama Bationo</t>
        </is>
      </c>
      <c r="F22" t="inlineStr"/>
      <c r="G22" t="inlineStr">
        <is>
          <t>Ballon d'eau chaude 50 L — réf 1</t>
        </is>
      </c>
      <c r="H22" t="inlineStr">
        <is>
          <t>Plomberie</t>
        </is>
      </c>
      <c r="I22" t="inlineStr">
        <is>
          <t>2</t>
        </is>
      </c>
      <c r="J22" t="inlineStr">
        <is>
          <t>34025</t>
        </is>
      </c>
      <c r="K22" t="inlineStr">
        <is>
          <t>0.0</t>
        </is>
      </c>
      <c r="L22" t="inlineStr">
        <is>
          <t>68050</t>
        </is>
      </c>
      <c r="M22" t="inlineStr">
        <is>
          <t>80 299</t>
        </is>
      </c>
    </row>
    <row r="23">
      <c r="A23" t="inlineStr">
        <is>
          <t>T05-250102-075995</t>
        </is>
      </c>
      <c r="B23" t="inlineStr">
        <is>
          <t>2025-01-02</t>
        </is>
      </c>
      <c r="C23" t="inlineStr">
        <is>
          <t>16:16</t>
        </is>
      </c>
      <c r="D23" t="inlineStr">
        <is>
          <t>Magasin 5 — Kaya Marché</t>
        </is>
      </c>
      <c r="E23" t="inlineStr">
        <is>
          <t>Boureima Ouédraogo</t>
        </is>
      </c>
      <c r="F23" t="inlineStr">
        <is>
          <t>20631</t>
        </is>
      </c>
      <c r="G23" t="inlineStr">
        <is>
          <t>Sable de rivière (m3) — réf 2</t>
        </is>
      </c>
      <c r="H23" t="inlineStr">
        <is>
          <t>Matériaux</t>
        </is>
      </c>
      <c r="I23" t="inlineStr">
        <is>
          <t>4</t>
        </is>
      </c>
      <c r="J23" t="inlineStr">
        <is>
          <t>27050</t>
        </is>
      </c>
      <c r="K23" t="inlineStr">
        <is>
          <t>0.0</t>
        </is>
      </c>
      <c r="L23" t="inlineStr">
        <is>
          <t>108200</t>
        </is>
      </c>
      <c r="M23" t="inlineStr">
        <is>
          <t>127 676</t>
        </is>
      </c>
    </row>
    <row r="24">
      <c r="A24" t="inlineStr">
        <is>
          <t>T05-250102-075996</t>
        </is>
      </c>
      <c r="B24" t="inlineStr">
        <is>
          <t>2025-01-02</t>
        </is>
      </c>
      <c r="C24" t="inlineStr">
        <is>
          <t>11:23</t>
        </is>
      </c>
      <c r="D24" t="inlineStr">
        <is>
          <t>Magasin 5 — Kaya Marché</t>
        </is>
      </c>
      <c r="E24" t="inlineStr">
        <is>
          <t>Boureima Ouédraogo</t>
        </is>
      </c>
      <c r="F24" t="inlineStr">
        <is>
          <t>0</t>
        </is>
      </c>
      <c r="G24" t="inlineStr">
        <is>
          <t>Brique de terre cuite — réf 2</t>
        </is>
      </c>
      <c r="H24" t="inlineStr">
        <is>
          <t>Matériaux</t>
        </is>
      </c>
      <c r="I24" t="inlineStr">
        <is>
          <t>7</t>
        </is>
      </c>
      <c r="J24" t="inlineStr">
        <is>
          <t>700</t>
        </is>
      </c>
      <c r="K24" t="inlineStr">
        <is>
          <t>0.0</t>
        </is>
      </c>
      <c r="L24" t="inlineStr">
        <is>
          <t>4900</t>
        </is>
      </c>
      <c r="M24" t="inlineStr">
        <is>
          <t>5 782</t>
        </is>
      </c>
    </row>
    <row r="25">
      <c r="A25" t="inlineStr">
        <is>
          <t>T05-250102-075997</t>
        </is>
      </c>
      <c r="B25" t="inlineStr">
        <is>
          <t>2025-01-02</t>
        </is>
      </c>
      <c r="C25" t="inlineStr">
        <is>
          <t>09:31</t>
        </is>
      </c>
      <c r="D25" t="inlineStr">
        <is>
          <t>Magasin 5 — Kaya Marché</t>
        </is>
      </c>
      <c r="E25" t="inlineStr">
        <is>
          <t>Boureima Ouédraogo</t>
        </is>
      </c>
      <c r="F25" t="inlineStr">
        <is>
          <t>16066</t>
        </is>
      </c>
      <c r="G25" t="inlineStr">
        <is>
          <t>Ciment CPJ45 50 kg — réf 1</t>
        </is>
      </c>
      <c r="H25" t="inlineStr">
        <is>
          <t>Matériaux</t>
        </is>
      </c>
      <c r="I25" t="inlineStr">
        <is>
          <t>12</t>
        </is>
      </c>
      <c r="J25" t="inlineStr">
        <is>
          <t>6100</t>
        </is>
      </c>
      <c r="K25" t="inlineStr">
        <is>
          <t>0.0</t>
        </is>
      </c>
      <c r="L25" t="inlineStr">
        <is>
          <t>73200</t>
        </is>
      </c>
      <c r="M25" t="inlineStr">
        <is>
          <t>86 376</t>
        </is>
      </c>
    </row>
    <row r="26">
      <c r="A26" t="inlineStr">
        <is>
          <t>T05-250102-075998</t>
        </is>
      </c>
      <c r="B26" t="inlineStr">
        <is>
          <t>2025-01-02</t>
        </is>
      </c>
      <c r="C26" t="inlineStr">
        <is>
          <t>08:17</t>
        </is>
      </c>
      <c r="D26" t="inlineStr">
        <is>
          <t>Magasin 5 — Kaya Marché</t>
        </is>
      </c>
      <c r="E26" t="inlineStr">
        <is>
          <t>Adama Bationo</t>
        </is>
      </c>
      <c r="F26" t="inlineStr">
        <is>
          <t>17124</t>
        </is>
      </c>
      <c r="G26" t="inlineStr">
        <is>
          <t>Hourdis creux 12 — réf 1</t>
        </is>
      </c>
      <c r="H26" t="inlineStr">
        <is>
          <t>Matériaux</t>
        </is>
      </c>
      <c r="I26" t="inlineStr">
        <is>
          <t>6</t>
        </is>
      </c>
      <c r="J26" t="inlineStr">
        <is>
          <t>1075</t>
        </is>
      </c>
      <c r="K26" t="inlineStr">
        <is>
          <t>0.08</t>
        </is>
      </c>
      <c r="L26" t="inlineStr">
        <is>
          <t>5934</t>
        </is>
      </c>
      <c r="M26" t="inlineStr">
        <is>
          <t>7 002</t>
        </is>
      </c>
    </row>
    <row r="27">
      <c r="A27" t="inlineStr">
        <is>
          <t>T05-250102-075999</t>
        </is>
      </c>
      <c r="B27" t="inlineStr">
        <is>
          <t>2025-01-02</t>
        </is>
      </c>
      <c r="C27" t="inlineStr">
        <is>
          <t>17:27</t>
        </is>
      </c>
      <c r="D27" t="inlineStr">
        <is>
          <t>Magasin 5 — Kaya Marché</t>
        </is>
      </c>
      <c r="E27" t="inlineStr">
        <is>
          <t>Adama Bationo</t>
        </is>
      </c>
      <c r="F27" t="inlineStr">
        <is>
          <t>8234</t>
        </is>
      </c>
      <c r="G27" t="inlineStr">
        <is>
          <t>Casque de chantier — réf 2</t>
        </is>
      </c>
      <c r="H27" t="inlineStr">
        <is>
          <t>Consommables</t>
        </is>
      </c>
      <c r="I27" t="inlineStr">
        <is>
          <t>27</t>
        </is>
      </c>
      <c r="J27" t="inlineStr">
        <is>
          <t>5400</t>
        </is>
      </c>
      <c r="K27" t="inlineStr">
        <is>
          <t>0.0</t>
        </is>
      </c>
      <c r="L27" t="inlineStr">
        <is>
          <t>145800</t>
        </is>
      </c>
      <c r="M27" t="inlineStr">
        <is>
          <t>172 044</t>
        </is>
      </c>
    </row>
    <row r="28">
      <c r="A28" t="inlineStr">
        <is>
          <t>T05-250102-076000</t>
        </is>
      </c>
      <c r="B28" t="inlineStr">
        <is>
          <t>2025-01-02</t>
        </is>
      </c>
      <c r="C28" t="inlineStr">
        <is>
          <t>08:18</t>
        </is>
      </c>
      <c r="D28" t="inlineStr">
        <is>
          <t>Magasin 5 — Kaya Marché</t>
        </is>
      </c>
      <c r="E28" t="inlineStr">
        <is>
          <t>Boureima Ouédraogo</t>
        </is>
      </c>
      <c r="F28" t="inlineStr">
        <is>
          <t>5812</t>
        </is>
      </c>
      <c r="G28" t="inlineStr">
        <is>
          <t>Tableau 18 modules — réf 1</t>
        </is>
      </c>
      <c r="H28" t="inlineStr">
        <is>
          <t>Electricité</t>
        </is>
      </c>
      <c r="I28" t="inlineStr">
        <is>
          <t>25</t>
        </is>
      </c>
      <c r="J28" t="inlineStr">
        <is>
          <t>8700</t>
        </is>
      </c>
      <c r="K28" t="inlineStr">
        <is>
          <t>0.08</t>
        </is>
      </c>
      <c r="L28" t="inlineStr">
        <is>
          <t>200100</t>
        </is>
      </c>
      <c r="M28" t="inlineStr">
        <is>
          <t>236 118</t>
        </is>
      </c>
    </row>
    <row r="29">
      <c r="A29" t="inlineStr">
        <is>
          <t>T05-250102-076001</t>
        </is>
      </c>
      <c r="B29" t="inlineStr">
        <is>
          <t>2025-01-02</t>
        </is>
      </c>
      <c r="C29" t="inlineStr">
        <is>
          <t>07:43</t>
        </is>
      </c>
      <c r="D29" t="inlineStr">
        <is>
          <t>Magasin 5 — Kaya Marché</t>
        </is>
      </c>
      <c r="E29" t="inlineStr">
        <is>
          <t>Moussa Ilboudo</t>
        </is>
      </c>
      <c r="F29" t="inlineStr">
        <is>
          <t>9745</t>
        </is>
      </c>
      <c r="G29" t="inlineStr">
        <is>
          <t>Pavé autobloquant — réf 2</t>
        </is>
      </c>
      <c r="H29" t="inlineStr">
        <is>
          <t>Matériaux</t>
        </is>
      </c>
      <c r="I29" t="inlineStr">
        <is>
          <t>3</t>
        </is>
      </c>
      <c r="J29" t="inlineStr">
        <is>
          <t>675</t>
        </is>
      </c>
      <c r="K29" t="inlineStr">
        <is>
          <t>0.0</t>
        </is>
      </c>
      <c r="L29" t="inlineStr">
        <is>
          <t>2025</t>
        </is>
      </c>
      <c r="M29" t="inlineStr">
        <is>
          <t>2 389</t>
        </is>
      </c>
    </row>
    <row r="30">
      <c r="A30" t="inlineStr">
        <is>
          <t>T05-250102-076002</t>
        </is>
      </c>
      <c r="B30" t="inlineStr">
        <is>
          <t>02/01/2025</t>
        </is>
      </c>
      <c r="C30" t="inlineStr">
        <is>
          <t>10:32</t>
        </is>
      </c>
      <c r="D30" t="inlineStr">
        <is>
          <t>Magasin 5 — Kaya Marché</t>
        </is>
      </c>
      <c r="E30" t="inlineStr">
        <is>
          <t>Salamatu Sankara</t>
        </is>
      </c>
      <c r="F30" t="inlineStr">
        <is>
          <t>21264</t>
        </is>
      </c>
      <c r="G30" t="inlineStr">
        <is>
          <t>Mètre ruban 5 m — réf 1</t>
        </is>
      </c>
      <c r="H30" t="inlineStr">
        <is>
          <t>Quincaillerie</t>
        </is>
      </c>
      <c r="I30" t="inlineStr">
        <is>
          <t>12</t>
        </is>
      </c>
      <c r="J30" t="inlineStr">
        <is>
          <t>7475</t>
        </is>
      </c>
      <c r="K30" t="inlineStr">
        <is>
          <t>0.04</t>
        </is>
      </c>
      <c r="L30" t="inlineStr">
        <is>
          <t>86112</t>
        </is>
      </c>
      <c r="M30" t="inlineStr">
        <is>
          <t>101 612</t>
        </is>
      </c>
    </row>
    <row r="31">
      <c r="A31" t="inlineStr">
        <is>
          <t>T05-250102-076003</t>
        </is>
      </c>
      <c r="B31" t="inlineStr">
        <is>
          <t>2025-01-02</t>
        </is>
      </c>
      <c r="C31" t="inlineStr">
        <is>
          <t>10:37</t>
        </is>
      </c>
      <c r="D31" t="inlineStr">
        <is>
          <t>Magasin 5 — Kaya Marché</t>
        </is>
      </c>
      <c r="E31" t="inlineStr">
        <is>
          <t>Boureima Ouédraogo</t>
        </is>
      </c>
      <c r="F31" t="inlineStr">
        <is>
          <t>20263</t>
        </is>
      </c>
      <c r="G31" t="inlineStr">
        <is>
          <t>Ciment CPJ45 50 kg — réf 1</t>
        </is>
      </c>
      <c r="H31" t="inlineStr">
        <is>
          <t>Matériaux</t>
        </is>
      </c>
      <c r="I31" t="inlineStr">
        <is>
          <t>1</t>
        </is>
      </c>
      <c r="J31" t="inlineStr">
        <is>
          <t>6100</t>
        </is>
      </c>
      <c r="K31" t="inlineStr">
        <is>
          <t>0.0</t>
        </is>
      </c>
      <c r="L31" t="inlineStr">
        <is>
          <t>6100</t>
        </is>
      </c>
      <c r="M31" t="inlineStr">
        <is>
          <t>7 198</t>
        </is>
      </c>
    </row>
    <row r="32">
      <c r="A32" t="inlineStr">
        <is>
          <t>T05-250102-076004</t>
        </is>
      </c>
      <c r="B32" t="inlineStr">
        <is>
          <t>2025-01-02</t>
        </is>
      </c>
      <c r="C32" t="inlineStr">
        <is>
          <t>07:12</t>
        </is>
      </c>
      <c r="D32" t="inlineStr">
        <is>
          <t>Magasin 5 — Kaya Marché</t>
        </is>
      </c>
      <c r="E32" t="inlineStr">
        <is>
          <t>Salamatu Sankara</t>
        </is>
      </c>
      <c r="F32" t="inlineStr"/>
      <c r="G32" t="inlineStr">
        <is>
          <t>Tube PVC évacuation 100 mm (ml) — réf 1</t>
        </is>
      </c>
      <c r="H32" t="inlineStr">
        <is>
          <t>Plomberie</t>
        </is>
      </c>
      <c r="I32" t="inlineStr">
        <is>
          <t>5000</t>
        </is>
      </c>
      <c r="J32" t="inlineStr">
        <is>
          <t>3500</t>
        </is>
      </c>
      <c r="K32" t="inlineStr">
        <is>
          <t>0.0</t>
        </is>
      </c>
      <c r="L32" t="inlineStr">
        <is>
          <t>17500</t>
        </is>
      </c>
      <c r="M32" t="inlineStr">
        <is>
          <t>20 650</t>
        </is>
      </c>
    </row>
    <row r="33">
      <c r="A33" t="inlineStr">
        <is>
          <t>T05-250102-076005</t>
        </is>
      </c>
      <c r="B33" t="inlineStr">
        <is>
          <t>2025-01-02</t>
        </is>
      </c>
      <c r="C33" t="inlineStr">
        <is>
          <t>08:40</t>
        </is>
      </c>
      <c r="D33" t="inlineStr">
        <is>
          <t>Magasin 5 — Kaya Marché</t>
        </is>
      </c>
      <c r="E33" t="inlineStr">
        <is>
          <t>Boureima Ouédraogo</t>
        </is>
      </c>
      <c r="F33" t="inlineStr">
        <is>
          <t>16610</t>
        </is>
      </c>
      <c r="G33" t="inlineStr">
        <is>
          <t>Peinture glycéro 1 L — réf 2</t>
        </is>
      </c>
      <c r="H33" t="inlineStr">
        <is>
          <t>Peinture</t>
        </is>
      </c>
      <c r="I33" t="inlineStr">
        <is>
          <t>17</t>
        </is>
      </c>
      <c r="J33" t="inlineStr">
        <is>
          <t>3925</t>
        </is>
      </c>
      <c r="K33" t="inlineStr">
        <is>
          <t>0.0</t>
        </is>
      </c>
      <c r="L33" t="inlineStr">
        <is>
          <t>66725</t>
        </is>
      </c>
      <c r="M33" t="inlineStr">
        <is>
          <t>78 735</t>
        </is>
      </c>
    </row>
    <row r="34">
      <c r="A34" t="inlineStr">
        <is>
          <t>T05-250102-076006</t>
        </is>
      </c>
      <c r="B34" t="inlineStr">
        <is>
          <t>02/01/2025</t>
        </is>
      </c>
      <c r="C34" t="inlineStr">
        <is>
          <t>12:58</t>
        </is>
      </c>
      <c r="D34" t="inlineStr">
        <is>
          <t>Magasin 5 — Kaya Marché</t>
        </is>
      </c>
      <c r="E34" t="inlineStr">
        <is>
          <t>Boureima Ouédraogo</t>
        </is>
      </c>
      <c r="F34" t="inlineStr"/>
      <c r="G34" t="inlineStr">
        <is>
          <t>Colle à carrelage 25 kg — réf 2</t>
        </is>
      </c>
      <c r="H34" t="inlineStr">
        <is>
          <t>Matériaux</t>
        </is>
      </c>
      <c r="I34" t="inlineStr">
        <is>
          <t>5</t>
        </is>
      </c>
      <c r="J34" t="inlineStr">
        <is>
          <t>4300</t>
        </is>
      </c>
      <c r="K34" t="inlineStr">
        <is>
          <t>0.04</t>
        </is>
      </c>
      <c r="L34" t="inlineStr">
        <is>
          <t>20640</t>
        </is>
      </c>
      <c r="M34" t="inlineStr">
        <is>
          <t>24 355</t>
        </is>
      </c>
    </row>
    <row r="35">
      <c r="A35" t="inlineStr">
        <is>
          <t>T05-250102-076007</t>
        </is>
      </c>
      <c r="B35" t="inlineStr">
        <is>
          <t>2025-01-02</t>
        </is>
      </c>
      <c r="C35" t="inlineStr">
        <is>
          <t>18:53</t>
        </is>
      </c>
      <c r="D35" t="inlineStr">
        <is>
          <t>Magasin 5 — Kaya Marché</t>
        </is>
      </c>
      <c r="E35" t="inlineStr">
        <is>
          <t>Adama Bationo</t>
        </is>
      </c>
      <c r="F35" t="inlineStr">
        <is>
          <t>2691</t>
        </is>
      </c>
      <c r="G35" t="inlineStr">
        <is>
          <t>Raccord laiton 20/27 — réf 2</t>
        </is>
      </c>
      <c r="H35" t="inlineStr">
        <is>
          <t>Plomberie</t>
        </is>
      </c>
      <c r="I35" t="inlineStr">
        <is>
          <t>4</t>
        </is>
      </c>
      <c r="J35" t="inlineStr">
        <is>
          <t>4825</t>
        </is>
      </c>
      <c r="K35" t="inlineStr">
        <is>
          <t>0.04</t>
        </is>
      </c>
      <c r="L35" t="inlineStr">
        <is>
          <t>18528</t>
        </is>
      </c>
      <c r="M35" t="inlineStr">
        <is>
          <t>21 863</t>
        </is>
      </c>
    </row>
    <row r="36">
      <c r="A36" t="inlineStr">
        <is>
          <t>T05-250102-076008</t>
        </is>
      </c>
      <c r="B36" t="inlineStr">
        <is>
          <t>2025-01-02</t>
        </is>
      </c>
      <c r="C36" t="inlineStr">
        <is>
          <t>14:52</t>
        </is>
      </c>
      <c r="D36" t="inlineStr">
        <is>
          <t>Magasin 5 — Kaya Marché</t>
        </is>
      </c>
      <c r="E36" t="inlineStr">
        <is>
          <t>Salamatu Sankara</t>
        </is>
      </c>
      <c r="F36" t="inlineStr">
        <is>
          <t>16233</t>
        </is>
      </c>
      <c r="G36" t="inlineStr">
        <is>
          <t>Pelle carrée — réf 2</t>
        </is>
      </c>
      <c r="H36" t="inlineStr">
        <is>
          <t>Consommables</t>
        </is>
      </c>
      <c r="I36" t="inlineStr">
        <is>
          <t>2</t>
        </is>
      </c>
      <c r="J36" t="inlineStr">
        <is>
          <t>5100</t>
        </is>
      </c>
      <c r="K36" t="inlineStr">
        <is>
          <t>0.0</t>
        </is>
      </c>
      <c r="L36" t="inlineStr">
        <is>
          <t>10200</t>
        </is>
      </c>
      <c r="M36" t="inlineStr">
        <is>
          <t>12 036</t>
        </is>
      </c>
    </row>
    <row r="37">
      <c r="A37" t="inlineStr">
        <is>
          <t>T05-250102-076009</t>
        </is>
      </c>
      <c r="B37" t="inlineStr">
        <is>
          <t>2025-01-02</t>
        </is>
      </c>
      <c r="C37" t="inlineStr">
        <is>
          <t>16:14</t>
        </is>
      </c>
      <c r="D37" t="inlineStr">
        <is>
          <t>Magasin 5 — Kaya Marché</t>
        </is>
      </c>
      <c r="E37" t="inlineStr">
        <is>
          <t>Boureima Ouédraogo</t>
        </is>
      </c>
      <c r="F37" t="inlineStr">
        <is>
          <t>2178</t>
        </is>
      </c>
      <c r="G37" t="inlineStr">
        <is>
          <t>Sac de transport 100 kg — réf 1</t>
        </is>
      </c>
      <c r="H37" t="inlineStr">
        <is>
          <t>Consommables</t>
        </is>
      </c>
      <c r="I37" t="inlineStr">
        <is>
          <t>2</t>
        </is>
      </c>
      <c r="J37" t="inlineStr">
        <is>
          <t>8775</t>
        </is>
      </c>
      <c r="K37" t="inlineStr">
        <is>
          <t>0.04</t>
        </is>
      </c>
      <c r="L37" t="inlineStr">
        <is>
          <t>16848</t>
        </is>
      </c>
      <c r="M37" t="inlineStr">
        <is>
          <t>19 881</t>
        </is>
      </c>
    </row>
    <row r="38">
      <c r="A38" t="inlineStr">
        <is>
          <t>T05-250102-076010</t>
        </is>
      </c>
      <c r="B38" t="inlineStr">
        <is>
          <t>2025-01-02</t>
        </is>
      </c>
      <c r="C38" t="inlineStr">
        <is>
          <t>12:34</t>
        </is>
      </c>
      <c r="D38" t="inlineStr">
        <is>
          <t>Magasin 5 — Kaya Marché</t>
        </is>
      </c>
      <c r="E38" t="inlineStr">
        <is>
          <t>Salamatu Sankara</t>
        </is>
      </c>
      <c r="F38" t="inlineStr">
        <is>
          <t>12170</t>
        </is>
      </c>
      <c r="G38" t="inlineStr">
        <is>
          <t>Brique de terre cuite — réf 2</t>
        </is>
      </c>
      <c r="H38" t="inlineStr">
        <is>
          <t>Matériaux</t>
        </is>
      </c>
      <c r="I38" t="inlineStr">
        <is>
          <t>2</t>
        </is>
      </c>
      <c r="J38" t="inlineStr">
        <is>
          <t>675</t>
        </is>
      </c>
      <c r="K38" t="inlineStr">
        <is>
          <t>0.0</t>
        </is>
      </c>
      <c r="L38" t="inlineStr">
        <is>
          <t>1350</t>
        </is>
      </c>
      <c r="M38" t="inlineStr">
        <is>
          <t>1 593</t>
        </is>
      </c>
    </row>
    <row r="39">
      <c r="A39" t="inlineStr">
        <is>
          <t>T05-250102-076011</t>
        </is>
      </c>
      <c r="B39" t="inlineStr">
        <is>
          <t>02/01/2025</t>
        </is>
      </c>
      <c r="C39" t="inlineStr">
        <is>
          <t>18:01</t>
        </is>
      </c>
      <c r="D39" t="inlineStr">
        <is>
          <t>Magasin 5 — Kaya Marché</t>
        </is>
      </c>
      <c r="E39" t="inlineStr">
        <is>
          <t>Moussa Ilboudo</t>
        </is>
      </c>
      <c r="F39" t="inlineStr">
        <is>
          <t>2474</t>
        </is>
      </c>
      <c r="G39" t="inlineStr">
        <is>
          <t>Tout-venant (m3) — réf 1</t>
        </is>
      </c>
      <c r="H39" t="inlineStr">
        <is>
          <t>Matériaux</t>
        </is>
      </c>
      <c r="I39" t="inlineStr">
        <is>
          <t>4</t>
        </is>
      </c>
      <c r="J39" t="inlineStr">
        <is>
          <t>16375</t>
        </is>
      </c>
      <c r="K39" t="inlineStr">
        <is>
          <t>0.04</t>
        </is>
      </c>
      <c r="L39" t="inlineStr">
        <is>
          <t>62880</t>
        </is>
      </c>
      <c r="M39" t="inlineStr">
        <is>
          <t>74 198</t>
        </is>
      </c>
    </row>
    <row r="40">
      <c r="A40" t="inlineStr">
        <is>
          <t>T05-250102-076012</t>
        </is>
      </c>
      <c r="B40" t="inlineStr">
        <is>
          <t>2025-01-02</t>
        </is>
      </c>
      <c r="C40" t="inlineStr">
        <is>
          <t>13:31</t>
        </is>
      </c>
      <c r="D40" t="inlineStr">
        <is>
          <t>Magasin 5 — Kaya Marché</t>
        </is>
      </c>
      <c r="E40" t="inlineStr">
        <is>
          <t>Adama Bationo</t>
        </is>
      </c>
      <c r="F40" t="inlineStr">
        <is>
          <t>4653</t>
        </is>
      </c>
      <c r="G40" t="inlineStr">
        <is>
          <t>Parpaing 15 aggloméré — réf 2</t>
        </is>
      </c>
      <c r="H40" t="inlineStr">
        <is>
          <t>Matériaux</t>
        </is>
      </c>
      <c r="I40" t="inlineStr">
        <is>
          <t>5</t>
        </is>
      </c>
      <c r="J40" t="inlineStr">
        <is>
          <t>1400</t>
        </is>
      </c>
      <c r="K40" t="inlineStr">
        <is>
          <t>0.0</t>
        </is>
      </c>
      <c r="L40" t="inlineStr">
        <is>
          <t>7000</t>
        </is>
      </c>
      <c r="M40" t="inlineStr">
        <is>
          <t>8 260</t>
        </is>
      </c>
    </row>
    <row r="41">
      <c r="A41" t="inlineStr">
        <is>
          <t>T05-250102-076013</t>
        </is>
      </c>
      <c r="B41" t="inlineStr">
        <is>
          <t>2025-01-02</t>
        </is>
      </c>
      <c r="C41" t="inlineStr">
        <is>
          <t>12:57</t>
        </is>
      </c>
      <c r="D41" t="inlineStr">
        <is>
          <t>Magasin 5 — Kaya Marché</t>
        </is>
      </c>
      <c r="E41" t="inlineStr">
        <is>
          <t>Salamatu Sankara</t>
        </is>
      </c>
      <c r="F41" t="inlineStr">
        <is>
          <t>7529</t>
        </is>
      </c>
      <c r="G41" t="inlineStr">
        <is>
          <t>Régulateur de charge 10 A — réf 1</t>
        </is>
      </c>
      <c r="H41" t="inlineStr">
        <is>
          <t>Electricité</t>
        </is>
      </c>
      <c r="I41" t="inlineStr">
        <is>
          <t>3</t>
        </is>
      </c>
      <c r="J41" t="inlineStr">
        <is>
          <t>21675</t>
        </is>
      </c>
      <c r="K41" t="inlineStr">
        <is>
          <t>0.03</t>
        </is>
      </c>
      <c r="L41" t="inlineStr">
        <is>
          <t>63074</t>
        </is>
      </c>
      <c r="M41" t="inlineStr">
        <is>
          <t>74 427</t>
        </is>
      </c>
    </row>
    <row r="42">
      <c r="A42" t="inlineStr">
        <is>
          <t>T05-250201-079456</t>
        </is>
      </c>
      <c r="B42" t="inlineStr">
        <is>
          <t>2025-02-01</t>
        </is>
      </c>
      <c r="C42" t="inlineStr">
        <is>
          <t>13:52</t>
        </is>
      </c>
      <c r="D42" t="inlineStr">
        <is>
          <t>Magasin 5 — Kaya Marché</t>
        </is>
      </c>
      <c r="E42" t="inlineStr">
        <is>
          <t>Boureima Ouédraogo</t>
        </is>
      </c>
      <c r="F42" t="inlineStr">
        <is>
          <t>3742</t>
        </is>
      </c>
      <c r="G42" t="inlineStr">
        <is>
          <t>Té fonte 100 — réf 1</t>
        </is>
      </c>
      <c r="H42" t="inlineStr">
        <is>
          <t>Plomberie</t>
        </is>
      </c>
      <c r="I42" t="inlineStr">
        <is>
          <t>1</t>
        </is>
      </c>
      <c r="J42" t="inlineStr">
        <is>
          <t>3150</t>
        </is>
      </c>
      <c r="K42" t="inlineStr">
        <is>
          <t>0.04</t>
        </is>
      </c>
      <c r="L42" t="inlineStr">
        <is>
          <t>3024</t>
        </is>
      </c>
      <c r="M42" t="inlineStr">
        <is>
          <t>3 568</t>
        </is>
      </c>
    </row>
    <row r="43">
      <c r="A43" t="inlineStr">
        <is>
          <t>T05-250201-079457</t>
        </is>
      </c>
      <c r="B43" t="inlineStr">
        <is>
          <t>2025-02-01</t>
        </is>
      </c>
      <c r="C43" t="inlineStr">
        <is>
          <t>09:27</t>
        </is>
      </c>
      <c r="D43" t="inlineStr">
        <is>
          <t>Magasin 5 — Kaya Marché</t>
        </is>
      </c>
      <c r="E43" t="inlineStr">
        <is>
          <t>Moussa Ilboudo</t>
        </is>
      </c>
      <c r="F43" t="inlineStr">
        <is>
          <t>0</t>
        </is>
      </c>
      <c r="G43" t="inlineStr">
        <is>
          <t>Peinture glycéro 1 L — réf 1</t>
        </is>
      </c>
      <c r="H43" t="inlineStr">
        <is>
          <t>Peinture</t>
        </is>
      </c>
      <c r="I43" t="inlineStr">
        <is>
          <t>21</t>
        </is>
      </c>
      <c r="J43" t="inlineStr">
        <is>
          <t>3300</t>
        </is>
      </c>
      <c r="K43" t="inlineStr">
        <is>
          <t>0.0</t>
        </is>
      </c>
      <c r="L43" t="inlineStr">
        <is>
          <t>69300</t>
        </is>
      </c>
      <c r="M43" t="inlineStr">
        <is>
          <t>81 774</t>
        </is>
      </c>
    </row>
    <row r="44">
      <c r="A44" t="inlineStr">
        <is>
          <t>T05-250201-079458</t>
        </is>
      </c>
      <c r="B44" t="inlineStr">
        <is>
          <t>2025-02-01</t>
        </is>
      </c>
      <c r="C44" t="inlineStr">
        <is>
          <t>18:28</t>
        </is>
      </c>
      <c r="D44" t="inlineStr">
        <is>
          <t>Magasin 5 — Kaya Marché</t>
        </is>
      </c>
      <c r="E44" t="inlineStr">
        <is>
          <t>Salamatu Sankara</t>
        </is>
      </c>
      <c r="F44" t="inlineStr">
        <is>
          <t>21909</t>
        </is>
      </c>
      <c r="G44" t="inlineStr">
        <is>
          <t>Carreau de pavement 40x40 — réf 1</t>
        </is>
      </c>
      <c r="H44" t="inlineStr">
        <is>
          <t>Matériaux</t>
        </is>
      </c>
      <c r="I44" t="inlineStr">
        <is>
          <t>4</t>
        </is>
      </c>
      <c r="J44" t="inlineStr">
        <is>
          <t>1025</t>
        </is>
      </c>
      <c r="K44" t="inlineStr">
        <is>
          <t>0.0</t>
        </is>
      </c>
      <c r="L44" t="inlineStr">
        <is>
          <t>4100</t>
        </is>
      </c>
      <c r="M44" t="inlineStr">
        <is>
          <t>4 838</t>
        </is>
      </c>
    </row>
    <row r="45">
      <c r="A45" t="inlineStr">
        <is>
          <t>T05-250201-079459</t>
        </is>
      </c>
      <c r="B45" t="inlineStr">
        <is>
          <t>2025-02-01</t>
        </is>
      </c>
      <c r="C45" t="inlineStr">
        <is>
          <t>16:55</t>
        </is>
      </c>
      <c r="D45" t="inlineStr">
        <is>
          <t>Magasin 5 — Kaya Marché</t>
        </is>
      </c>
      <c r="E45" t="inlineStr">
        <is>
          <t>Moussa Ilboudo</t>
        </is>
      </c>
      <c r="F45" t="inlineStr">
        <is>
          <t>21680</t>
        </is>
      </c>
      <c r="G45" t="inlineStr">
        <is>
          <t>Lampe solaire murale — réf 1</t>
        </is>
      </c>
      <c r="H45" t="inlineStr">
        <is>
          <t>Electricité</t>
        </is>
      </c>
      <c r="I45" t="inlineStr">
        <is>
          <t>5</t>
        </is>
      </c>
      <c r="J45" t="inlineStr">
        <is>
          <t>10525</t>
        </is>
      </c>
      <c r="K45" t="inlineStr">
        <is>
          <t>0.03</t>
        </is>
      </c>
      <c r="L45" t="inlineStr">
        <is>
          <t>51046</t>
        </is>
      </c>
      <c r="M45" t="inlineStr">
        <is>
          <t>60 234</t>
        </is>
      </c>
    </row>
    <row r="46">
      <c r="A46" t="inlineStr">
        <is>
          <t>T05-250201-079460</t>
        </is>
      </c>
      <c r="B46" t="inlineStr">
        <is>
          <t>2025-02-01</t>
        </is>
      </c>
      <c r="C46" t="inlineStr">
        <is>
          <t>18:22</t>
        </is>
      </c>
      <c r="D46" t="inlineStr">
        <is>
          <t>Magasin 5 — Kaya Marché</t>
        </is>
      </c>
      <c r="E46" t="inlineStr">
        <is>
          <t>Salamatu Sankara</t>
        </is>
      </c>
      <c r="F46" t="inlineStr">
        <is>
          <t>1519</t>
        </is>
      </c>
      <c r="G46" t="inlineStr">
        <is>
          <t>Colle à carrelage 25 kg — réf 1</t>
        </is>
      </c>
      <c r="H46" t="inlineStr">
        <is>
          <t>Matériaux</t>
        </is>
      </c>
      <c r="I46" t="inlineStr">
        <is>
          <t>8</t>
        </is>
      </c>
      <c r="J46" t="inlineStr">
        <is>
          <t>6100</t>
        </is>
      </c>
      <c r="K46" t="inlineStr">
        <is>
          <t>0.04</t>
        </is>
      </c>
      <c r="L46" t="inlineStr">
        <is>
          <t>46848</t>
        </is>
      </c>
      <c r="M46" t="inlineStr">
        <is>
          <t>55 281</t>
        </is>
      </c>
    </row>
    <row r="47">
      <c r="A47" t="inlineStr">
        <is>
          <t>T05-250201-079461</t>
        </is>
      </c>
      <c r="B47" t="inlineStr">
        <is>
          <t>2025-02-01</t>
        </is>
      </c>
      <c r="C47" t="inlineStr">
        <is>
          <t>14:19</t>
        </is>
      </c>
      <c r="D47" t="inlineStr">
        <is>
          <t>Magasin 5 — Kaya Marché</t>
        </is>
      </c>
      <c r="E47" t="inlineStr">
        <is>
          <t>Salamatu Sankara</t>
        </is>
      </c>
      <c r="F47" t="inlineStr">
        <is>
          <t>0</t>
        </is>
      </c>
      <c r="G47" t="inlineStr">
        <is>
          <t>Mastic d'étanchéité — réf 1</t>
        </is>
      </c>
      <c r="H47" t="inlineStr">
        <is>
          <t>Plomberie</t>
        </is>
      </c>
      <c r="I47" t="inlineStr">
        <is>
          <t>4</t>
        </is>
      </c>
      <c r="J47" t="inlineStr">
        <is>
          <t>3450</t>
        </is>
      </c>
      <c r="K47" t="inlineStr">
        <is>
          <t>0.0</t>
        </is>
      </c>
      <c r="L47" t="inlineStr">
        <is>
          <t>13800</t>
        </is>
      </c>
      <c r="M47" t="inlineStr">
        <is>
          <t>16 284</t>
        </is>
      </c>
    </row>
    <row r="48">
      <c r="A48" t="inlineStr">
        <is>
          <t>T05-250201-079462</t>
        </is>
      </c>
      <c r="B48" t="inlineStr">
        <is>
          <t>2025-02-01</t>
        </is>
      </c>
      <c r="C48" t="inlineStr">
        <is>
          <t>10:15</t>
        </is>
      </c>
      <c r="D48" t="inlineStr">
        <is>
          <t>Magasin 5 — Kaya Marché</t>
        </is>
      </c>
      <c r="E48" t="inlineStr">
        <is>
          <t>Moussa Ilboudo</t>
        </is>
      </c>
      <c r="F48" t="inlineStr">
        <is>
          <t>19183</t>
        </is>
      </c>
      <c r="G48" t="inlineStr">
        <is>
          <t>Pointe 100 mm (kg) — réf 1</t>
        </is>
      </c>
      <c r="H48" t="inlineStr">
        <is>
          <t>Quincaillerie</t>
        </is>
      </c>
      <c r="I48" t="inlineStr">
        <is>
          <t>3</t>
        </is>
      </c>
      <c r="J48" t="inlineStr">
        <is>
          <t>2450</t>
        </is>
      </c>
      <c r="K48" t="inlineStr">
        <is>
          <t>0.03</t>
        </is>
      </c>
      <c r="L48" t="inlineStr">
        <is>
          <t>7130</t>
        </is>
      </c>
      <c r="M48" t="inlineStr">
        <is>
          <t>8 413</t>
        </is>
      </c>
    </row>
    <row r="49">
      <c r="A49" t="inlineStr">
        <is>
          <t>T05-250201-079463</t>
        </is>
      </c>
      <c r="B49" t="inlineStr">
        <is>
          <t>2025-02-01</t>
        </is>
      </c>
      <c r="C49" t="inlineStr">
        <is>
          <t>15:49</t>
        </is>
      </c>
      <c r="D49" t="inlineStr">
        <is>
          <t>Magasin 5 — Kaya Marché</t>
        </is>
      </c>
      <c r="E49" t="inlineStr">
        <is>
          <t>Boureima Ouédraogo</t>
        </is>
      </c>
      <c r="F49" t="inlineStr">
        <is>
          <t>20154</t>
        </is>
      </c>
      <c r="G49" t="inlineStr">
        <is>
          <t>Ciment CPJ45 50 kg — réf 2</t>
        </is>
      </c>
      <c r="H49" t="inlineStr">
        <is>
          <t>Matériaux</t>
        </is>
      </c>
      <c r="I49" t="inlineStr">
        <is>
          <t>6</t>
        </is>
      </c>
      <c r="J49" t="inlineStr">
        <is>
          <t>6600</t>
        </is>
      </c>
      <c r="K49" t="inlineStr">
        <is>
          <t>0.0</t>
        </is>
      </c>
      <c r="L49" t="inlineStr">
        <is>
          <t>39600</t>
        </is>
      </c>
      <c r="M49" t="inlineStr">
        <is>
          <t>46 728</t>
        </is>
      </c>
    </row>
    <row r="50">
      <c r="A50" t="inlineStr">
        <is>
          <t>T05-250201-079464</t>
        </is>
      </c>
      <c r="B50" t="inlineStr">
        <is>
          <t>2025-02-01</t>
        </is>
      </c>
      <c r="C50" t="inlineStr">
        <is>
          <t>09:01</t>
        </is>
      </c>
      <c r="D50" t="inlineStr">
        <is>
          <t>Magasin 5 — Kaya Marché</t>
        </is>
      </c>
      <c r="E50" t="inlineStr">
        <is>
          <t>Adama Bationo</t>
        </is>
      </c>
      <c r="F50" t="inlineStr">
        <is>
          <t>4280</t>
        </is>
      </c>
      <c r="G50" t="inlineStr">
        <is>
          <t>Fil de fer recuit (kg) — réf 1</t>
        </is>
      </c>
      <c r="H50" t="inlineStr">
        <is>
          <t>Quincaillerie</t>
        </is>
      </c>
      <c r="I50" t="inlineStr">
        <is>
          <t>5</t>
        </is>
      </c>
      <c r="J50" t="inlineStr">
        <is>
          <t>1650</t>
        </is>
      </c>
      <c r="K50" t="inlineStr">
        <is>
          <t>0.0</t>
        </is>
      </c>
      <c r="L50" t="inlineStr">
        <is>
          <t>8250</t>
        </is>
      </c>
      <c r="M50" t="inlineStr">
        <is>
          <t>9 735</t>
        </is>
      </c>
    </row>
    <row r="51">
      <c r="A51" t="inlineStr">
        <is>
          <t>T05-250201-079465</t>
        </is>
      </c>
      <c r="B51" t="inlineStr">
        <is>
          <t>2025-02-01</t>
        </is>
      </c>
      <c r="C51" t="inlineStr">
        <is>
          <t>11:19</t>
        </is>
      </c>
      <c r="D51" t="inlineStr">
        <is>
          <t>Magasin 5 — Kaya Marché</t>
        </is>
      </c>
      <c r="E51" t="inlineStr">
        <is>
          <t>Moussa Ilboudo</t>
        </is>
      </c>
      <c r="F51" t="inlineStr">
        <is>
          <t>9701</t>
        </is>
      </c>
      <c r="G51" t="inlineStr">
        <is>
          <t>Passe-câble étanche — réf 2</t>
        </is>
      </c>
      <c r="H51" t="inlineStr">
        <is>
          <t>Electricité</t>
        </is>
      </c>
      <c r="I51" t="inlineStr">
        <is>
          <t>2</t>
        </is>
      </c>
      <c r="J51" t="inlineStr">
        <is>
          <t>16425</t>
        </is>
      </c>
      <c r="K51" t="inlineStr">
        <is>
          <t>0.08</t>
        </is>
      </c>
      <c r="L51" t="inlineStr">
        <is>
          <t>30222</t>
        </is>
      </c>
      <c r="M51" t="inlineStr">
        <is>
          <t>35 662</t>
        </is>
      </c>
    </row>
    <row r="52">
      <c r="A52" t="inlineStr">
        <is>
          <t>T05-250201-079466</t>
        </is>
      </c>
      <c r="B52" t="inlineStr">
        <is>
          <t>2025-02-01</t>
        </is>
      </c>
      <c r="C52" t="inlineStr">
        <is>
          <t>17:52</t>
        </is>
      </c>
      <c r="D52" t="inlineStr">
        <is>
          <t>Magasin 5 — Kaya Marché</t>
        </is>
      </c>
      <c r="E52" t="inlineStr">
        <is>
          <t>Boureima Ouédraogo</t>
        </is>
      </c>
      <c r="F52" t="inlineStr">
        <is>
          <t>20964</t>
        </is>
      </c>
      <c r="G52" t="inlineStr">
        <is>
          <t>Peinture toiture 25 kg — réf 2</t>
        </is>
      </c>
      <c r="H52" t="inlineStr">
        <is>
          <t>Peinture</t>
        </is>
      </c>
      <c r="I52" t="inlineStr">
        <is>
          <t>29</t>
        </is>
      </c>
      <c r="J52" t="inlineStr">
        <is>
          <t>6150</t>
        </is>
      </c>
      <c r="K52" t="inlineStr">
        <is>
          <t>0.04</t>
        </is>
      </c>
      <c r="L52" t="inlineStr">
        <is>
          <t>171216</t>
        </is>
      </c>
      <c r="M52" t="inlineStr">
        <is>
          <t>202 035</t>
        </is>
      </c>
    </row>
    <row r="53">
      <c r="A53" t="inlineStr">
        <is>
          <t>T05-250201-079467</t>
        </is>
      </c>
      <c r="B53" t="inlineStr">
        <is>
          <t>2025-02-01</t>
        </is>
      </c>
      <c r="C53" t="inlineStr">
        <is>
          <t>09:28</t>
        </is>
      </c>
      <c r="D53" t="inlineStr">
        <is>
          <t>Magasin 5 — Kaya Marché</t>
        </is>
      </c>
      <c r="E53" t="inlineStr">
        <is>
          <t>Salamatu Sankara</t>
        </is>
      </c>
      <c r="F53" t="inlineStr">
        <is>
          <t>22552</t>
        </is>
      </c>
      <c r="G53" t="inlineStr">
        <is>
          <t>Chaux aérienne 25 kg — réf 1</t>
        </is>
      </c>
      <c r="H53" t="inlineStr">
        <is>
          <t>Matériaux</t>
        </is>
      </c>
      <c r="I53" t="inlineStr">
        <is>
          <t>1</t>
        </is>
      </c>
      <c r="J53" t="inlineStr">
        <is>
          <t>5150</t>
        </is>
      </c>
      <c r="K53" t="inlineStr">
        <is>
          <t>0.04</t>
        </is>
      </c>
      <c r="L53" t="inlineStr">
        <is>
          <t>4944</t>
        </is>
      </c>
      <c r="M53" t="inlineStr">
        <is>
          <t>5 834</t>
        </is>
      </c>
    </row>
    <row r="54">
      <c r="A54" t="inlineStr">
        <is>
          <t>T05-250202-079524</t>
        </is>
      </c>
      <c r="B54" t="inlineStr">
        <is>
          <t>2025-02-02</t>
        </is>
      </c>
      <c r="C54" t="inlineStr">
        <is>
          <t>08:49</t>
        </is>
      </c>
      <c r="D54" t="inlineStr">
        <is>
          <t>Magasin 5 — Kaya Marché</t>
        </is>
      </c>
      <c r="E54" t="inlineStr">
        <is>
          <t>Moussa Ilboudo</t>
        </is>
      </c>
      <c r="F54" t="inlineStr">
        <is>
          <t>10729</t>
        </is>
      </c>
      <c r="G54" t="inlineStr">
        <is>
          <t>Plâtre de construction 25 kg — réf 1</t>
        </is>
      </c>
      <c r="H54" t="inlineStr">
        <is>
          <t>Matériaux</t>
        </is>
      </c>
      <c r="I54" t="inlineStr">
        <is>
          <t>17</t>
        </is>
      </c>
      <c r="J54" t="inlineStr">
        <is>
          <t>4325</t>
        </is>
      </c>
      <c r="K54" t="inlineStr">
        <is>
          <t>0.0</t>
        </is>
      </c>
      <c r="L54" t="inlineStr">
        <is>
          <t>73525</t>
        </is>
      </c>
      <c r="M54" t="inlineStr">
        <is>
          <t>86 759</t>
        </is>
      </c>
    </row>
    <row r="55">
      <c r="A55" t="inlineStr">
        <is>
          <t>T05-250202-079524</t>
        </is>
      </c>
      <c r="B55" t="inlineStr">
        <is>
          <t>2025-02-02</t>
        </is>
      </c>
      <c r="C55" t="inlineStr">
        <is>
          <t>16:22</t>
        </is>
      </c>
      <c r="D55" t="inlineStr">
        <is>
          <t>Magasin 5 — Kaya Marché</t>
        </is>
      </c>
      <c r="E55" t="inlineStr">
        <is>
          <t>Salamatu Sankara</t>
        </is>
      </c>
      <c r="F55" t="inlineStr">
        <is>
          <t>15215</t>
        </is>
      </c>
      <c r="G55" t="inlineStr">
        <is>
          <t>Régulateur de charge 10 A — réf 1</t>
        </is>
      </c>
      <c r="H55" t="inlineStr">
        <is>
          <t>Electricité</t>
        </is>
      </c>
      <c r="I55" t="inlineStr">
        <is>
          <t>48</t>
        </is>
      </c>
      <c r="J55" t="inlineStr">
        <is>
          <t>22425</t>
        </is>
      </c>
      <c r="K55" t="inlineStr">
        <is>
          <t>0.04</t>
        </is>
      </c>
      <c r="L55" t="inlineStr">
        <is>
          <t>1033344</t>
        </is>
      </c>
      <c r="M55" t="inlineStr">
        <is>
          <t>1 219 346</t>
        </is>
      </c>
    </row>
    <row r="56">
      <c r="A56" t="inlineStr">
        <is>
          <t>T05-250202-079525</t>
        </is>
      </c>
      <c r="B56" t="inlineStr">
        <is>
          <t>2025-02-02</t>
        </is>
      </c>
      <c r="C56" t="inlineStr">
        <is>
          <t>09:30</t>
        </is>
      </c>
      <c r="D56" t="inlineStr">
        <is>
          <t>Magasin 5 — Kaya Marché</t>
        </is>
      </c>
      <c r="E56" t="inlineStr">
        <is>
          <t>Boureima Ouédraogo</t>
        </is>
      </c>
      <c r="F56" t="inlineStr">
        <is>
          <t>22946</t>
        </is>
      </c>
      <c r="G56" t="inlineStr">
        <is>
          <t>Pelle carrée — réf 2</t>
        </is>
      </c>
      <c r="H56" t="inlineStr">
        <is>
          <t>Consommables</t>
        </is>
      </c>
      <c r="I56" t="inlineStr">
        <is>
          <t>1</t>
        </is>
      </c>
      <c r="J56" t="inlineStr">
        <is>
          <t>5125</t>
        </is>
      </c>
      <c r="K56" t="inlineStr">
        <is>
          <t>0.04</t>
        </is>
      </c>
      <c r="L56" t="inlineStr">
        <is>
          <t>4920</t>
        </is>
      </c>
      <c r="M56" t="inlineStr">
        <is>
          <t>5 806</t>
        </is>
      </c>
    </row>
    <row r="57">
      <c r="A57" t="inlineStr">
        <is>
          <t>T05-250202-079525</t>
        </is>
      </c>
      <c r="B57" t="inlineStr">
        <is>
          <t>2025-02-02</t>
        </is>
      </c>
      <c r="C57" t="inlineStr">
        <is>
          <t>18:51</t>
        </is>
      </c>
      <c r="D57" t="inlineStr">
        <is>
          <t>Magasin 5 — Kaya Marché</t>
        </is>
      </c>
      <c r="E57" t="inlineStr">
        <is>
          <t>Adama Bationo</t>
        </is>
      </c>
      <c r="F57" t="inlineStr">
        <is>
          <t>16478</t>
        </is>
      </c>
      <c r="G57" t="inlineStr">
        <is>
          <t>Sable de rivière (m3) — réf 1</t>
        </is>
      </c>
      <c r="H57" t="inlineStr">
        <is>
          <t>Matériaux</t>
        </is>
      </c>
      <c r="I57" t="inlineStr">
        <is>
          <t>2</t>
        </is>
      </c>
      <c r="J57" t="inlineStr">
        <is>
          <t>25625</t>
        </is>
      </c>
      <c r="K57" t="inlineStr">
        <is>
          <t>0.0</t>
        </is>
      </c>
      <c r="L57" t="inlineStr">
        <is>
          <t>51250</t>
        </is>
      </c>
      <c r="M57" t="inlineStr">
        <is>
          <t>60 475</t>
        </is>
      </c>
    </row>
    <row r="58">
      <c r="A58" t="inlineStr">
        <is>
          <t>T05-250202-079526</t>
        </is>
      </c>
      <c r="B58" t="inlineStr">
        <is>
          <t>2025-02-02</t>
        </is>
      </c>
      <c r="C58" t="inlineStr">
        <is>
          <t>10:35</t>
        </is>
      </c>
      <c r="D58" t="inlineStr">
        <is>
          <t>Magasin 5 — Kaya Marché</t>
        </is>
      </c>
      <c r="E58" t="inlineStr">
        <is>
          <t>Boureima Ouédraogo</t>
        </is>
      </c>
      <c r="F58" t="inlineStr">
        <is>
          <t>22297</t>
        </is>
      </c>
      <c r="G58" t="inlineStr">
        <is>
          <t>WC complet avec abattant — réf 1</t>
        </is>
      </c>
      <c r="H58" t="inlineStr">
        <is>
          <t>Plomberie</t>
        </is>
      </c>
      <c r="I58" t="inlineStr">
        <is>
          <t>2</t>
        </is>
      </c>
      <c r="J58" t="inlineStr">
        <is>
          <t>26300</t>
        </is>
      </c>
      <c r="K58" t="inlineStr">
        <is>
          <t>0.0</t>
        </is>
      </c>
      <c r="L58" t="inlineStr">
        <is>
          <t>52600</t>
        </is>
      </c>
      <c r="M58" t="inlineStr">
        <is>
          <t>62 068</t>
        </is>
      </c>
    </row>
    <row r="59">
      <c r="A59" t="inlineStr">
        <is>
          <t>T05-250202-079526</t>
        </is>
      </c>
      <c r="B59" t="inlineStr">
        <is>
          <t>2025-02-02</t>
        </is>
      </c>
      <c r="C59" t="inlineStr">
        <is>
          <t>12:36</t>
        </is>
      </c>
      <c r="D59" t="inlineStr">
        <is>
          <t>Magasin 5 — Kaya Marché</t>
        </is>
      </c>
      <c r="E59" t="inlineStr">
        <is>
          <t>Boureima Ouédraogo</t>
        </is>
      </c>
      <c r="F59" t="inlineStr">
        <is>
          <t>7108</t>
        </is>
      </c>
      <c r="G59" t="inlineStr">
        <is>
          <t>Marteau de menuisier — réf 1</t>
        </is>
      </c>
      <c r="H59" t="inlineStr">
        <is>
          <t>Quincaillerie</t>
        </is>
      </c>
      <c r="I59" t="inlineStr">
        <is>
          <t>8</t>
        </is>
      </c>
      <c r="J59" t="inlineStr">
        <is>
          <t>9550</t>
        </is>
      </c>
      <c r="K59" t="inlineStr">
        <is>
          <t>0.0</t>
        </is>
      </c>
      <c r="L59" t="inlineStr">
        <is>
          <t>76400</t>
        </is>
      </c>
      <c r="M59" t="inlineStr">
        <is>
          <t>90 152</t>
        </is>
      </c>
    </row>
    <row r="60">
      <c r="A60" t="inlineStr">
        <is>
          <t>T05-250202-079527</t>
        </is>
      </c>
      <c r="B60" t="inlineStr">
        <is>
          <t>2025-02-02</t>
        </is>
      </c>
      <c r="C60" t="inlineStr">
        <is>
          <t>16:27</t>
        </is>
      </c>
      <c r="D60" t="inlineStr">
        <is>
          <t>Magasin 5 — Kaya Marché</t>
        </is>
      </c>
      <c r="E60" t="inlineStr">
        <is>
          <t>Moussa Ilboudo</t>
        </is>
      </c>
      <c r="F60" t="inlineStr">
        <is>
          <t>10601</t>
        </is>
      </c>
      <c r="G60" t="inlineStr">
        <is>
          <t>Niveau à bulle 600 mm — réf 1</t>
        </is>
      </c>
      <c r="H60" t="inlineStr">
        <is>
          <t>Quincaillerie</t>
        </is>
      </c>
      <c r="I60" t="inlineStr">
        <is>
          <t>13</t>
        </is>
      </c>
      <c r="J60" t="inlineStr">
        <is>
          <t>8900</t>
        </is>
      </c>
      <c r="K60" t="inlineStr">
        <is>
          <t>0.0</t>
        </is>
      </c>
      <c r="L60" t="inlineStr">
        <is>
          <t>115700</t>
        </is>
      </c>
      <c r="M60" t="inlineStr">
        <is>
          <t>136 526</t>
        </is>
      </c>
    </row>
    <row r="61">
      <c r="A61" t="inlineStr">
        <is>
          <t>T05-250202-079527</t>
        </is>
      </c>
      <c r="B61" t="inlineStr">
        <is>
          <t>2025-02-02</t>
        </is>
      </c>
      <c r="C61" t="inlineStr">
        <is>
          <t>16:17</t>
        </is>
      </c>
      <c r="D61" t="inlineStr">
        <is>
          <t>Magasin 5 — Kaya Marché</t>
        </is>
      </c>
      <c r="E61" t="inlineStr">
        <is>
          <t>Boureima Ouédraogo</t>
        </is>
      </c>
      <c r="F61" t="inlineStr">
        <is>
          <t>0</t>
        </is>
      </c>
      <c r="G61" t="inlineStr">
        <is>
          <t>Chaux aérienne 25 kg — réf 1</t>
        </is>
      </c>
      <c r="H61" t="inlineStr">
        <is>
          <t>Matériaux</t>
        </is>
      </c>
      <c r="I61" t="inlineStr">
        <is>
          <t>8</t>
        </is>
      </c>
      <c r="J61" t="inlineStr">
        <is>
          <t>5075</t>
        </is>
      </c>
      <c r="K61" t="inlineStr">
        <is>
          <t>0.0</t>
        </is>
      </c>
      <c r="L61" t="inlineStr">
        <is>
          <t>40600</t>
        </is>
      </c>
      <c r="M61" t="inlineStr">
        <is>
          <t>47 908</t>
        </is>
      </c>
    </row>
    <row r="62">
      <c r="A62" t="inlineStr">
        <is>
          <t>T05-250202-079528</t>
        </is>
      </c>
      <c r="B62" t="inlineStr">
        <is>
          <t>2025-02-02</t>
        </is>
      </c>
      <c r="C62" t="inlineStr">
        <is>
          <t>11:04</t>
        </is>
      </c>
      <c r="D62" t="inlineStr">
        <is>
          <t>Magasin 5 — Kaya Marché</t>
        </is>
      </c>
      <c r="E62" t="inlineStr">
        <is>
          <t>Boureima Ouédraogo</t>
        </is>
      </c>
      <c r="F62" t="inlineStr">
        <is>
          <t>16696</t>
        </is>
      </c>
      <c r="G62" t="inlineStr">
        <is>
          <t>Douille E27 avec cordon — réf 1</t>
        </is>
      </c>
      <c r="H62" t="inlineStr">
        <is>
          <t>Electricité</t>
        </is>
      </c>
      <c r="I62" t="inlineStr">
        <is>
          <t>14000</t>
        </is>
      </c>
      <c r="J62" t="inlineStr">
        <is>
          <t>11975</t>
        </is>
      </c>
      <c r="K62" t="inlineStr">
        <is>
          <t>0.08</t>
        </is>
      </c>
      <c r="L62" t="inlineStr">
        <is>
          <t>154238</t>
        </is>
      </c>
      <c r="M62" t="inlineStr">
        <is>
          <t>182 001</t>
        </is>
      </c>
    </row>
    <row r="63">
      <c r="A63" t="inlineStr">
        <is>
          <t>T05-250202-079528</t>
        </is>
      </c>
      <c r="B63" t="inlineStr">
        <is>
          <t>2025-02-02</t>
        </is>
      </c>
      <c r="C63" t="inlineStr">
        <is>
          <t>10:49</t>
        </is>
      </c>
      <c r="D63" t="inlineStr">
        <is>
          <t>Magasin 5 — Kaya Marché</t>
        </is>
      </c>
      <c r="E63" t="inlineStr">
        <is>
          <t>Adama Bationo</t>
        </is>
      </c>
      <c r="F63" t="inlineStr">
        <is>
          <t>0</t>
        </is>
      </c>
      <c r="G63" t="inlineStr">
        <is>
          <t>Régulateur de charge 10 A — réf 1</t>
        </is>
      </c>
      <c r="H63" t="inlineStr">
        <is>
          <t>Electricité</t>
        </is>
      </c>
      <c r="I63" t="inlineStr">
        <is>
          <t>2</t>
        </is>
      </c>
      <c r="J63" t="inlineStr">
        <is>
          <t>21875</t>
        </is>
      </c>
      <c r="K63" t="inlineStr">
        <is>
          <t>0.0</t>
        </is>
      </c>
      <c r="L63" t="inlineStr">
        <is>
          <t>43750</t>
        </is>
      </c>
      <c r="M63" t="inlineStr">
        <is>
          <t>51 625</t>
        </is>
      </c>
    </row>
    <row r="64">
      <c r="A64" t="inlineStr">
        <is>
          <t>T05-250203-079672</t>
        </is>
      </c>
      <c r="B64" t="inlineStr">
        <is>
          <t>2025-02-03</t>
        </is>
      </c>
      <c r="C64" t="inlineStr">
        <is>
          <t>07:21</t>
        </is>
      </c>
      <c r="D64" t="inlineStr">
        <is>
          <t>Magasin 5 — Kaya Marché</t>
        </is>
      </c>
      <c r="E64" t="inlineStr">
        <is>
          <t>Adama Bationo</t>
        </is>
      </c>
      <c r="F64" t="inlineStr">
        <is>
          <t>7419</t>
        </is>
      </c>
      <c r="G64" t="inlineStr">
        <is>
          <t>Lampe solaire murale — réf 1</t>
        </is>
      </c>
      <c r="H64" t="inlineStr">
        <is>
          <t>Electricité</t>
        </is>
      </c>
      <c r="I64" t="inlineStr">
        <is>
          <t>1</t>
        </is>
      </c>
      <c r="J64" t="inlineStr">
        <is>
          <t>10300</t>
        </is>
      </c>
      <c r="K64" t="inlineStr">
        <is>
          <t>0.0</t>
        </is>
      </c>
      <c r="L64" t="inlineStr">
        <is>
          <t>10300</t>
        </is>
      </c>
      <c r="M64" t="inlineStr">
        <is>
          <t>12 154</t>
        </is>
      </c>
    </row>
    <row r="65">
      <c r="A65" t="inlineStr">
        <is>
          <t>T05-250203-079673</t>
        </is>
      </c>
      <c r="B65" t="inlineStr">
        <is>
          <t>2025-02-03</t>
        </is>
      </c>
      <c r="C65" t="inlineStr">
        <is>
          <t>17:46</t>
        </is>
      </c>
      <c r="D65" t="inlineStr">
        <is>
          <t>Magasin 5 — Kaya Marché</t>
        </is>
      </c>
      <c r="E65" t="inlineStr">
        <is>
          <t>Boureima Ouédraogo</t>
        </is>
      </c>
      <c r="F65" t="inlineStr">
        <is>
          <t>13264</t>
        </is>
      </c>
      <c r="G65" t="inlineStr">
        <is>
          <t>Pavé autobloquant — réf 1</t>
        </is>
      </c>
      <c r="H65" t="inlineStr">
        <is>
          <t>Matériaux</t>
        </is>
      </c>
      <c r="I65" t="inlineStr">
        <is>
          <t>2</t>
        </is>
      </c>
      <c r="J65" t="inlineStr">
        <is>
          <t>1125</t>
        </is>
      </c>
      <c r="K65" t="inlineStr">
        <is>
          <t>0.0</t>
        </is>
      </c>
      <c r="L65" t="inlineStr">
        <is>
          <t>2250</t>
        </is>
      </c>
      <c r="M65" t="inlineStr">
        <is>
          <t>2 655</t>
        </is>
      </c>
    </row>
    <row r="66">
      <c r="A66" t="inlineStr">
        <is>
          <t>T05-250203-079673</t>
        </is>
      </c>
      <c r="B66" t="inlineStr">
        <is>
          <t>2025-02-03</t>
        </is>
      </c>
      <c r="C66" t="inlineStr">
        <is>
          <t>17:46</t>
        </is>
      </c>
      <c r="D66" t="inlineStr">
        <is>
          <t>Magasin 5 — Kaya Marché</t>
        </is>
      </c>
      <c r="E66" t="inlineStr">
        <is>
          <t>Boureima Ouédraogo</t>
        </is>
      </c>
      <c r="F66" t="inlineStr">
        <is>
          <t>13264</t>
        </is>
      </c>
      <c r="G66" t="inlineStr">
        <is>
          <t>Pavé autobloquant — réf 1</t>
        </is>
      </c>
      <c r="H66" t="inlineStr">
        <is>
          <t>Matériaux</t>
        </is>
      </c>
      <c r="I66" t="inlineStr">
        <is>
          <t>2</t>
        </is>
      </c>
      <c r="J66" t="inlineStr">
        <is>
          <t>1125</t>
        </is>
      </c>
      <c r="K66" t="inlineStr">
        <is>
          <t>0.0</t>
        </is>
      </c>
      <c r="L66" t="inlineStr">
        <is>
          <t>2250</t>
        </is>
      </c>
      <c r="M66" t="inlineStr">
        <is>
          <t>2 655</t>
        </is>
      </c>
    </row>
    <row r="67">
      <c r="A67" t="inlineStr">
        <is>
          <t>T05-250203-079674</t>
        </is>
      </c>
      <c r="B67" t="inlineStr">
        <is>
          <t>2025-02-03</t>
        </is>
      </c>
      <c r="C67" t="inlineStr">
        <is>
          <t>13:12</t>
        </is>
      </c>
      <c r="D67" t="inlineStr">
        <is>
          <t>Magasin 5 — Kaya Marché</t>
        </is>
      </c>
      <c r="E67" t="inlineStr">
        <is>
          <t>Boureima Ouédraogo</t>
        </is>
      </c>
      <c r="F67" t="inlineStr">
        <is>
          <t>0</t>
        </is>
      </c>
      <c r="G67" t="inlineStr">
        <is>
          <t>Robinet mitigeur évier — réf 2</t>
        </is>
      </c>
      <c r="H67" t="inlineStr">
        <is>
          <t>Plomberie</t>
        </is>
      </c>
      <c r="I67" t="inlineStr">
        <is>
          <t>25</t>
        </is>
      </c>
      <c r="J67" t="inlineStr">
        <is>
          <t>34800</t>
        </is>
      </c>
      <c r="K67" t="inlineStr">
        <is>
          <t>0.0</t>
        </is>
      </c>
      <c r="L67" t="inlineStr">
        <is>
          <t>870000</t>
        </is>
      </c>
      <c r="M67" t="inlineStr">
        <is>
          <t>1 026 600</t>
        </is>
      </c>
    </row>
    <row r="68">
      <c r="A68" t="inlineStr">
        <is>
          <t>T05-250203-079675</t>
        </is>
      </c>
      <c r="B68" t="inlineStr">
        <is>
          <t>2025-02-03</t>
        </is>
      </c>
      <c r="C68" t="inlineStr">
        <is>
          <t>10:37</t>
        </is>
      </c>
      <c r="D68" t="inlineStr">
        <is>
          <t>Magasin 5 — Kaya Marché</t>
        </is>
      </c>
      <c r="E68" t="inlineStr">
        <is>
          <t>Adama Bationo</t>
        </is>
      </c>
      <c r="F68" t="inlineStr">
        <is>
          <t>17377</t>
        </is>
      </c>
      <c r="G68" t="inlineStr">
        <is>
          <t>Lunettes de protection — réf 2</t>
        </is>
      </c>
      <c r="H68" t="inlineStr">
        <is>
          <t>Consommables</t>
        </is>
      </c>
      <c r="I68" t="inlineStr">
        <is>
          <t>2</t>
        </is>
      </c>
      <c r="J68" t="inlineStr">
        <is>
          <t>4900</t>
        </is>
      </c>
      <c r="K68" t="inlineStr">
        <is>
          <t>0.0</t>
        </is>
      </c>
      <c r="L68" t="inlineStr">
        <is>
          <t>9800</t>
        </is>
      </c>
      <c r="M68" t="inlineStr">
        <is>
          <t>11 564</t>
        </is>
      </c>
    </row>
    <row r="69">
      <c r="A69" t="inlineStr">
        <is>
          <t>T05-250203-079676</t>
        </is>
      </c>
      <c r="B69" t="inlineStr">
        <is>
          <t>2025-02-03</t>
        </is>
      </c>
      <c r="C69" t="inlineStr">
        <is>
          <t>17:59</t>
        </is>
      </c>
      <c r="D69" t="inlineStr">
        <is>
          <t>Magasin 5 — Kaya Marché</t>
        </is>
      </c>
      <c r="E69" t="inlineStr">
        <is>
          <t>Boureima Ouédraogo</t>
        </is>
      </c>
      <c r="F69" t="inlineStr">
        <is>
          <t>11559</t>
        </is>
      </c>
      <c r="G69" t="inlineStr">
        <is>
          <t>Vernis marin 1 L — réf 1</t>
        </is>
      </c>
      <c r="H69" t="inlineStr">
        <is>
          <t>Peinture</t>
        </is>
      </c>
      <c r="I69" t="inlineStr">
        <is>
          <t>9</t>
        </is>
      </c>
      <c r="J69" t="inlineStr">
        <is>
          <t>5600</t>
        </is>
      </c>
      <c r="K69" t="inlineStr">
        <is>
          <t>0.0</t>
        </is>
      </c>
      <c r="L69" t="inlineStr">
        <is>
          <t>50400</t>
        </is>
      </c>
      <c r="M69" t="inlineStr">
        <is>
          <t>59 472</t>
        </is>
      </c>
    </row>
    <row r="70">
      <c r="A70" t="inlineStr">
        <is>
          <t>T05-250203-079677</t>
        </is>
      </c>
      <c r="B70" t="inlineStr">
        <is>
          <t>2025-02-03</t>
        </is>
      </c>
      <c r="C70" t="inlineStr">
        <is>
          <t>08:52</t>
        </is>
      </c>
      <c r="D70" t="inlineStr">
        <is>
          <t>Magasin 5 — Kaya Marché</t>
        </is>
      </c>
      <c r="E70" t="inlineStr">
        <is>
          <t>Boureima Ouédraogo</t>
        </is>
      </c>
      <c r="F70" t="inlineStr">
        <is>
          <t>4982</t>
        </is>
      </c>
      <c r="G70" t="inlineStr">
        <is>
          <t>Lame de lambris 4 m — réf 1</t>
        </is>
      </c>
      <c r="H70" t="inlineStr">
        <is>
          <t>Bois &amp; panneaux</t>
        </is>
      </c>
      <c r="I70" t="inlineStr">
        <is>
          <t>9</t>
        </is>
      </c>
      <c r="J70" t="inlineStr">
        <is>
          <t>10700</t>
        </is>
      </c>
      <c r="K70" t="inlineStr">
        <is>
          <t>0.0</t>
        </is>
      </c>
      <c r="L70" t="inlineStr">
        <is>
          <t>96300</t>
        </is>
      </c>
      <c r="M70" t="inlineStr">
        <is>
          <t>113 634</t>
        </is>
      </c>
    </row>
    <row r="71">
      <c r="A71" t="inlineStr">
        <is>
          <t>T05-250203-079678</t>
        </is>
      </c>
      <c r="B71" t="inlineStr">
        <is>
          <t>2025-02-03</t>
        </is>
      </c>
      <c r="C71" t="inlineStr">
        <is>
          <t>09:38</t>
        </is>
      </c>
      <c r="D71" t="inlineStr">
        <is>
          <t>Magasin 5 — Kaya Marché</t>
        </is>
      </c>
      <c r="E71" t="inlineStr">
        <is>
          <t>Salamatu Sankara</t>
        </is>
      </c>
      <c r="F71" t="inlineStr">
        <is>
          <t>12648</t>
        </is>
      </c>
      <c r="G71" t="inlineStr">
        <is>
          <t>Écrou hexagonal 10 (sachet) — réf 1</t>
        </is>
      </c>
      <c r="H71" t="inlineStr">
        <is>
          <t>Quincaillerie</t>
        </is>
      </c>
      <c r="I71" t="inlineStr">
        <is>
          <t>16</t>
        </is>
      </c>
      <c r="J71" t="inlineStr">
        <is>
          <t>1450</t>
        </is>
      </c>
      <c r="K71" t="inlineStr">
        <is>
          <t>0.0</t>
        </is>
      </c>
      <c r="L71" t="inlineStr">
        <is>
          <t>23200</t>
        </is>
      </c>
      <c r="M71" t="inlineStr">
        <is>
          <t>27 376</t>
        </is>
      </c>
    </row>
    <row r="72">
      <c r="A72" t="inlineStr">
        <is>
          <t>T05-250203-079679</t>
        </is>
      </c>
      <c r="B72" t="inlineStr">
        <is>
          <t>2025-02-03</t>
        </is>
      </c>
      <c r="C72" t="inlineStr">
        <is>
          <t>14:03</t>
        </is>
      </c>
      <c r="D72" t="inlineStr">
        <is>
          <t>Magasin 5 — Kaya Marché</t>
        </is>
      </c>
      <c r="E72" t="inlineStr">
        <is>
          <t>Moussa Ilboudo</t>
        </is>
      </c>
      <c r="F72" t="inlineStr">
        <is>
          <t>0</t>
        </is>
      </c>
      <c r="G72" t="inlineStr">
        <is>
          <t>Brouette en kit — réf 2</t>
        </is>
      </c>
      <c r="H72" t="inlineStr">
        <is>
          <t>Consommables</t>
        </is>
      </c>
      <c r="I72" t="inlineStr">
        <is>
          <t>5</t>
        </is>
      </c>
      <c r="J72" t="inlineStr">
        <is>
          <t>9250</t>
        </is>
      </c>
      <c r="K72" t="inlineStr">
        <is>
          <t>0.0</t>
        </is>
      </c>
      <c r="L72" t="inlineStr">
        <is>
          <t>46250</t>
        </is>
      </c>
      <c r="M72" t="inlineStr">
        <is>
          <t>54 575</t>
        </is>
      </c>
    </row>
    <row r="73">
      <c r="A73" t="inlineStr">
        <is>
          <t>T05-250203-079680</t>
        </is>
      </c>
      <c r="B73" t="inlineStr">
        <is>
          <t>2025-02-03</t>
        </is>
      </c>
      <c r="C73" t="inlineStr">
        <is>
          <t>13:49</t>
        </is>
      </c>
      <c r="D73" t="inlineStr">
        <is>
          <t>Magasin 5 — Kaya Marché</t>
        </is>
      </c>
      <c r="E73" t="inlineStr">
        <is>
          <t>Boureima Ouédraogo</t>
        </is>
      </c>
      <c r="F73" t="inlineStr">
        <is>
          <t>0</t>
        </is>
      </c>
      <c r="G73" t="inlineStr">
        <is>
          <t>Tout-venant (m3) — réf 1</t>
        </is>
      </c>
      <c r="H73" t="inlineStr">
        <is>
          <t>Matériaux</t>
        </is>
      </c>
      <c r="I73" t="inlineStr">
        <is>
          <t>2</t>
        </is>
      </c>
      <c r="J73" t="inlineStr">
        <is>
          <t>16300</t>
        </is>
      </c>
      <c r="K73" t="inlineStr">
        <is>
          <t>0.0</t>
        </is>
      </c>
      <c r="L73" t="inlineStr">
        <is>
          <t>32600</t>
        </is>
      </c>
      <c r="M73" t="inlineStr">
        <is>
          <t>38 468</t>
        </is>
      </c>
    </row>
    <row r="74">
      <c r="A74" t="inlineStr">
        <is>
          <t>T05-250203-079681</t>
        </is>
      </c>
      <c r="B74" t="inlineStr">
        <is>
          <t>2025-02-03</t>
        </is>
      </c>
      <c r="C74" t="inlineStr">
        <is>
          <t>07:33</t>
        </is>
      </c>
      <c r="D74" t="inlineStr">
        <is>
          <t>Magasin 5 — Kaya Marché</t>
        </is>
      </c>
      <c r="E74" t="inlineStr">
        <is>
          <t>Salamatu Sankara</t>
        </is>
      </c>
      <c r="F74" t="inlineStr">
        <is>
          <t>23278</t>
        </is>
      </c>
      <c r="G74" t="inlineStr">
        <is>
          <t>Antirouille rouge brique 1 L — réf 2</t>
        </is>
      </c>
      <c r="H74" t="inlineStr">
        <is>
          <t>Peinture</t>
        </is>
      </c>
      <c r="I74" t="inlineStr">
        <is>
          <t>3</t>
        </is>
      </c>
      <c r="J74" t="inlineStr">
        <is>
          <t>6800</t>
        </is>
      </c>
      <c r="K74" t="inlineStr">
        <is>
          <t>0.03</t>
        </is>
      </c>
      <c r="L74" t="inlineStr">
        <is>
          <t>19788</t>
        </is>
      </c>
      <c r="M74" t="inlineStr">
        <is>
          <t>23 350</t>
        </is>
      </c>
    </row>
    <row r="75">
      <c r="A75" t="inlineStr">
        <is>
          <t>T05-250203-079682</t>
        </is>
      </c>
      <c r="B75" t="inlineStr">
        <is>
          <t>2025-02-03</t>
        </is>
      </c>
      <c r="C75" t="inlineStr">
        <is>
          <t>16:45</t>
        </is>
      </c>
      <c r="D75" t="inlineStr">
        <is>
          <t>Magasin 5 — Kaya Marché</t>
        </is>
      </c>
      <c r="E75" t="inlineStr">
        <is>
          <t>Moussa Ilboudo</t>
        </is>
      </c>
      <c r="F75" t="inlineStr"/>
      <c r="G75" t="inlineStr">
        <is>
          <t>Gants anti-coupure (paire) — réf 1</t>
        </is>
      </c>
      <c r="H75" t="inlineStr">
        <is>
          <t>Consommables</t>
        </is>
      </c>
      <c r="I75" t="inlineStr">
        <is>
          <t>6</t>
        </is>
      </c>
      <c r="J75" t="inlineStr">
        <is>
          <t>8925</t>
        </is>
      </c>
      <c r="K75" t="inlineStr">
        <is>
          <t>0.0</t>
        </is>
      </c>
      <c r="L75" t="inlineStr">
        <is>
          <t>53550</t>
        </is>
      </c>
      <c r="M75" t="inlineStr">
        <is>
          <t>63 189</t>
        </is>
      </c>
    </row>
    <row r="76">
      <c r="A76" t="inlineStr">
        <is>
          <t>T05-250203-079683</t>
        </is>
      </c>
      <c r="B76" t="inlineStr">
        <is>
          <t>2025-02-03</t>
        </is>
      </c>
      <c r="C76" t="inlineStr">
        <is>
          <t>10:30</t>
        </is>
      </c>
      <c r="D76" t="inlineStr">
        <is>
          <t>Magasin 5 — Kaya Marché</t>
        </is>
      </c>
      <c r="E76" t="inlineStr">
        <is>
          <t>Salamatu Sankara</t>
        </is>
      </c>
      <c r="F76" t="inlineStr">
        <is>
          <t>9467</t>
        </is>
      </c>
      <c r="G76" t="inlineStr">
        <is>
          <t>Clé plate 13 — réf 1</t>
        </is>
      </c>
      <c r="H76" t="inlineStr">
        <is>
          <t>Quincaillerie</t>
        </is>
      </c>
      <c r="I76" t="inlineStr">
        <is>
          <t>3</t>
        </is>
      </c>
      <c r="J76" t="inlineStr">
        <is>
          <t>9725</t>
        </is>
      </c>
      <c r="K76" t="inlineStr">
        <is>
          <t>0.0</t>
        </is>
      </c>
      <c r="L76" t="inlineStr">
        <is>
          <t>29175</t>
        </is>
      </c>
      <c r="M76" t="inlineStr">
        <is>
          <t>34 427</t>
        </is>
      </c>
    </row>
    <row r="77">
      <c r="A77" t="inlineStr">
        <is>
          <t>T05-250203-079684</t>
        </is>
      </c>
      <c r="B77" t="inlineStr">
        <is>
          <t>2025-02-03</t>
        </is>
      </c>
      <c r="C77" t="inlineStr">
        <is>
          <t>11:32</t>
        </is>
      </c>
      <c r="D77" t="inlineStr">
        <is>
          <t>Magasin 5 — Kaya Marché</t>
        </is>
      </c>
      <c r="E77" t="inlineStr">
        <is>
          <t>Salamatu Sankara</t>
        </is>
      </c>
      <c r="F77" t="inlineStr">
        <is>
          <t>11926</t>
        </is>
      </c>
      <c r="G77" t="inlineStr">
        <is>
          <t>Brique de terre cuite — réf 1</t>
        </is>
      </c>
      <c r="H77" t="inlineStr">
        <is>
          <t>Matériaux</t>
        </is>
      </c>
      <c r="I77" t="inlineStr">
        <is>
          <t>4</t>
        </is>
      </c>
      <c r="J77" t="inlineStr">
        <is>
          <t>1050</t>
        </is>
      </c>
      <c r="K77" t="inlineStr">
        <is>
          <t>0.04</t>
        </is>
      </c>
      <c r="L77" t="inlineStr">
        <is>
          <t>4032</t>
        </is>
      </c>
      <c r="M77" t="inlineStr">
        <is>
          <t>4 758</t>
        </is>
      </c>
    </row>
    <row r="78">
      <c r="A78" t="inlineStr">
        <is>
          <t>T05-250203-079684</t>
        </is>
      </c>
      <c r="B78" t="inlineStr">
        <is>
          <t>2025-02-03</t>
        </is>
      </c>
      <c r="C78" t="inlineStr">
        <is>
          <t>11:32</t>
        </is>
      </c>
      <c r="D78" t="inlineStr">
        <is>
          <t>Magasin 5 — Kaya Marché</t>
        </is>
      </c>
      <c r="E78" t="inlineStr">
        <is>
          <t>Salamatu Sankara</t>
        </is>
      </c>
      <c r="F78" t="inlineStr">
        <is>
          <t>11926</t>
        </is>
      </c>
      <c r="G78" t="inlineStr">
        <is>
          <t>Brique de terre cuite — réf 1</t>
        </is>
      </c>
      <c r="H78" t="inlineStr">
        <is>
          <t>Matériaux</t>
        </is>
      </c>
      <c r="I78" t="inlineStr">
        <is>
          <t>4</t>
        </is>
      </c>
      <c r="J78" t="inlineStr">
        <is>
          <t>1050</t>
        </is>
      </c>
      <c r="K78" t="inlineStr">
        <is>
          <t>0.04</t>
        </is>
      </c>
      <c r="L78" t="inlineStr">
        <is>
          <t>4032</t>
        </is>
      </c>
      <c r="M78" t="inlineStr">
        <is>
          <t>4 758</t>
        </is>
      </c>
    </row>
    <row r="79">
      <c r="A79" t="inlineStr">
        <is>
          <t>T05-250203-079685</t>
        </is>
      </c>
      <c r="B79" t="inlineStr">
        <is>
          <t>2025-02-03</t>
        </is>
      </c>
      <c r="C79" t="inlineStr">
        <is>
          <t>15:11</t>
        </is>
      </c>
      <c r="D79" t="inlineStr">
        <is>
          <t>Magasin 5 — Kaya Marché</t>
        </is>
      </c>
      <c r="E79" t="inlineStr">
        <is>
          <t>Salamatu Sankara</t>
        </is>
      </c>
      <c r="F79" t="inlineStr">
        <is>
          <t>756</t>
        </is>
      </c>
      <c r="G79" t="inlineStr">
        <is>
          <t>Carreau de pavement 40x40 — réf 1</t>
        </is>
      </c>
      <c r="H79" t="inlineStr">
        <is>
          <t>Matériaux</t>
        </is>
      </c>
      <c r="I79" t="inlineStr">
        <is>
          <t>5</t>
        </is>
      </c>
      <c r="J79" t="inlineStr">
        <is>
          <t>1075</t>
        </is>
      </c>
      <c r="K79" t="inlineStr">
        <is>
          <t>0.0</t>
        </is>
      </c>
      <c r="L79" t="inlineStr">
        <is>
          <t>5375</t>
        </is>
      </c>
      <c r="M79" t="inlineStr">
        <is>
          <t>6 343</t>
        </is>
      </c>
    </row>
    <row r="80">
      <c r="A80" t="inlineStr">
        <is>
          <t>T05-250203-079686</t>
        </is>
      </c>
      <c r="B80" t="inlineStr">
        <is>
          <t>2025-02-03</t>
        </is>
      </c>
      <c r="C80" t="inlineStr">
        <is>
          <t>14:03</t>
        </is>
      </c>
      <c r="D80" t="inlineStr">
        <is>
          <t>Magasin 5 — Kaya Marché</t>
        </is>
      </c>
      <c r="E80" t="inlineStr">
        <is>
          <t>Moussa Ilboudo</t>
        </is>
      </c>
      <c r="F80" t="inlineStr">
        <is>
          <t>5532</t>
        </is>
      </c>
      <c r="G80" t="inlineStr">
        <is>
          <t>Vernis marin 1 L — réf 1</t>
        </is>
      </c>
      <c r="H80" t="inlineStr">
        <is>
          <t>Peinture</t>
        </is>
      </c>
      <c r="I80" t="inlineStr">
        <is>
          <t>6000</t>
        </is>
      </c>
      <c r="J80" t="inlineStr">
        <is>
          <t>5800</t>
        </is>
      </c>
      <c r="K80" t="inlineStr">
        <is>
          <t>0.0</t>
        </is>
      </c>
      <c r="L80" t="inlineStr">
        <is>
          <t>34800</t>
        </is>
      </c>
      <c r="M80" t="inlineStr">
        <is>
          <t>41 064</t>
        </is>
      </c>
    </row>
    <row r="81">
      <c r="A81" t="inlineStr">
        <is>
          <t>T05-250203-079687</t>
        </is>
      </c>
      <c r="B81" t="inlineStr">
        <is>
          <t>2025-02-03</t>
        </is>
      </c>
      <c r="C81" t="inlineStr">
        <is>
          <t>18:08</t>
        </is>
      </c>
      <c r="D81" t="inlineStr">
        <is>
          <t>Magasin 5 — Kaya Marché</t>
        </is>
      </c>
      <c r="E81" t="inlineStr">
        <is>
          <t>Adama Bationo</t>
        </is>
      </c>
      <c r="F81" t="inlineStr">
        <is>
          <t>22119</t>
        </is>
      </c>
      <c r="G81" t="inlineStr">
        <is>
          <t>Bêche à manche bois — réf 1</t>
        </is>
      </c>
      <c r="H81" t="inlineStr">
        <is>
          <t>Consommables</t>
        </is>
      </c>
      <c r="I81" t="inlineStr">
        <is>
          <t>4</t>
        </is>
      </c>
      <c r="J81" t="inlineStr">
        <is>
          <t>5175</t>
        </is>
      </c>
      <c r="K81" t="inlineStr">
        <is>
          <t>0.0</t>
        </is>
      </c>
      <c r="L81" t="inlineStr">
        <is>
          <t>20700</t>
        </is>
      </c>
      <c r="M81" t="inlineStr">
        <is>
          <t>24 426</t>
        </is>
      </c>
    </row>
    <row r="82">
      <c r="A82" t="inlineStr">
        <is>
          <t>T05-250203-079688</t>
        </is>
      </c>
      <c r="B82" t="inlineStr">
        <is>
          <t>2025-02-03</t>
        </is>
      </c>
      <c r="C82" t="inlineStr">
        <is>
          <t>17:18</t>
        </is>
      </c>
      <c r="D82" t="inlineStr">
        <is>
          <t>Magasin 5 — Kaya Marché</t>
        </is>
      </c>
      <c r="E82" t="inlineStr">
        <is>
          <t>Adama Bationo</t>
        </is>
      </c>
      <c r="F82" t="inlineStr">
        <is>
          <t>10043</t>
        </is>
      </c>
      <c r="G82" t="inlineStr">
        <is>
          <t>Gravier 15/25 (m3) — réf 1</t>
        </is>
      </c>
      <c r="H82" t="inlineStr">
        <is>
          <t>Matériaux</t>
        </is>
      </c>
      <c r="I82" t="inlineStr">
        <is>
          <t>2</t>
        </is>
      </c>
      <c r="J82" t="inlineStr">
        <is>
          <t>31200</t>
        </is>
      </c>
      <c r="K82" t="inlineStr">
        <is>
          <t>0.08</t>
        </is>
      </c>
      <c r="L82" t="inlineStr">
        <is>
          <t>57408</t>
        </is>
      </c>
      <c r="M82" t="inlineStr">
        <is>
          <t>67 741</t>
        </is>
      </c>
    </row>
    <row r="83">
      <c r="A83" t="inlineStr">
        <is>
          <t>T05-250203-079689</t>
        </is>
      </c>
      <c r="B83" t="inlineStr">
        <is>
          <t>03/02/2025</t>
        </is>
      </c>
      <c r="C83" t="inlineStr">
        <is>
          <t>09:39</t>
        </is>
      </c>
      <c r="D83" t="inlineStr">
        <is>
          <t>Magasin 5 — Kaya Marché</t>
        </is>
      </c>
      <c r="E83" t="inlineStr">
        <is>
          <t>Boureima Ouédraogo</t>
        </is>
      </c>
      <c r="F83" t="inlineStr">
        <is>
          <t>14715</t>
        </is>
      </c>
      <c r="G83" t="inlineStr">
        <is>
          <t>Robinet mitigeur évier — réf 2</t>
        </is>
      </c>
      <c r="H83" t="inlineStr">
        <is>
          <t>Plomberie</t>
        </is>
      </c>
      <c r="I83" t="inlineStr">
        <is>
          <t>5</t>
        </is>
      </c>
      <c r="J83" t="inlineStr">
        <is>
          <t>36200</t>
        </is>
      </c>
      <c r="K83" t="inlineStr">
        <is>
          <t>0.04</t>
        </is>
      </c>
      <c r="L83" t="inlineStr">
        <is>
          <t>173760</t>
        </is>
      </c>
      <c r="M83" t="inlineStr">
        <is>
          <t>205 037</t>
        </is>
      </c>
    </row>
    <row r="84">
      <c r="A84" t="inlineStr">
        <is>
          <t>T05-250301-082692</t>
        </is>
      </c>
      <c r="B84" t="inlineStr">
        <is>
          <t>2025-03-01</t>
        </is>
      </c>
      <c r="C84" t="inlineStr">
        <is>
          <t>13:52</t>
        </is>
      </c>
      <c r="D84" t="inlineStr">
        <is>
          <t>Magasin 5 — Kaya Marché</t>
        </is>
      </c>
      <c r="E84" t="inlineStr">
        <is>
          <t>Moussa Ilboudo</t>
        </is>
      </c>
      <c r="F84" t="inlineStr">
        <is>
          <t>19875</t>
        </is>
      </c>
      <c r="G84" t="inlineStr">
        <is>
          <t>Tournevis cruciforme PH2 — réf 1</t>
        </is>
      </c>
      <c r="H84" t="inlineStr">
        <is>
          <t>Quincaillerie</t>
        </is>
      </c>
      <c r="I84" t="inlineStr">
        <is>
          <t>3</t>
        </is>
      </c>
      <c r="J84" t="inlineStr">
        <is>
          <t>8200</t>
        </is>
      </c>
      <c r="K84" t="inlineStr">
        <is>
          <t>0.04</t>
        </is>
      </c>
      <c r="L84" t="inlineStr">
        <is>
          <t>23616</t>
        </is>
      </c>
      <c r="M84" t="inlineStr">
        <is>
          <t>27 867</t>
        </is>
      </c>
    </row>
    <row r="85">
      <c r="A85" t="inlineStr">
        <is>
          <t>T05-250301-082693</t>
        </is>
      </c>
      <c r="B85" t="inlineStr">
        <is>
          <t>2025-03-01</t>
        </is>
      </c>
      <c r="C85" t="inlineStr">
        <is>
          <t>18:17</t>
        </is>
      </c>
      <c r="D85" t="inlineStr">
        <is>
          <t>Magasin 5 — Kaya Marché</t>
        </is>
      </c>
      <c r="E85" t="inlineStr">
        <is>
          <t>Salamatu Sankara</t>
        </is>
      </c>
      <c r="F85" t="inlineStr">
        <is>
          <t>12170</t>
        </is>
      </c>
      <c r="G85" t="inlineStr">
        <is>
          <t>Diluant nitro 5 L — réf 2</t>
        </is>
      </c>
      <c r="H85" t="inlineStr">
        <is>
          <t>Peinture</t>
        </is>
      </c>
      <c r="I85" t="inlineStr">
        <is>
          <t>27</t>
        </is>
      </c>
      <c r="J85" t="inlineStr">
        <is>
          <t>4375</t>
        </is>
      </c>
      <c r="K85" t="inlineStr">
        <is>
          <t>0.0</t>
        </is>
      </c>
      <c r="L85" t="inlineStr">
        <is>
          <t>118125</t>
        </is>
      </c>
      <c r="M85" t="inlineStr">
        <is>
          <t>139 387</t>
        </is>
      </c>
    </row>
    <row r="86">
      <c r="A86" t="inlineStr">
        <is>
          <t>T05-250301-082694</t>
        </is>
      </c>
      <c r="B86" t="inlineStr">
        <is>
          <t>2025-03-01</t>
        </is>
      </c>
      <c r="C86" t="inlineStr">
        <is>
          <t>15:12</t>
        </is>
      </c>
      <c r="D86" t="inlineStr">
        <is>
          <t>Magasin 5 — Kaya Marché</t>
        </is>
      </c>
      <c r="E86" t="inlineStr">
        <is>
          <t>Salamatu Sankara</t>
        </is>
      </c>
      <c r="F86" t="inlineStr">
        <is>
          <t>19501</t>
        </is>
      </c>
      <c r="G86" t="inlineStr">
        <is>
          <t>Parpaing 15 aggloméré — réf 1</t>
        </is>
      </c>
      <c r="H86" t="inlineStr">
        <is>
          <t>Matériaux</t>
        </is>
      </c>
      <c r="I86" t="inlineStr">
        <is>
          <t>2</t>
        </is>
      </c>
      <c r="J86" t="inlineStr">
        <is>
          <t>1500</t>
        </is>
      </c>
      <c r="K86" t="inlineStr">
        <is>
          <t>0.04</t>
        </is>
      </c>
      <c r="L86" t="inlineStr">
        <is>
          <t>2880</t>
        </is>
      </c>
      <c r="M86" t="inlineStr">
        <is>
          <t>3 398</t>
        </is>
      </c>
    </row>
    <row r="87">
      <c r="A87" t="inlineStr">
        <is>
          <t>T05-250301-082695</t>
        </is>
      </c>
      <c r="B87" t="inlineStr">
        <is>
          <t>2025-03-01</t>
        </is>
      </c>
      <c r="C87" t="inlineStr">
        <is>
          <t>12:20</t>
        </is>
      </c>
      <c r="D87" t="inlineStr">
        <is>
          <t>Magasin 5 — Kaya Marché</t>
        </is>
      </c>
      <c r="E87" t="inlineStr">
        <is>
          <t>Moussa Ilboudo</t>
        </is>
      </c>
      <c r="F87" t="inlineStr">
        <is>
          <t>5578</t>
        </is>
      </c>
      <c r="G87" t="inlineStr">
        <is>
          <t>Pavé autobloquant — réf 2</t>
        </is>
      </c>
      <c r="H87" t="inlineStr">
        <is>
          <t>Matériaux</t>
        </is>
      </c>
      <c r="I87" t="inlineStr">
        <is>
          <t>2</t>
        </is>
      </c>
      <c r="J87" t="inlineStr">
        <is>
          <t>675</t>
        </is>
      </c>
      <c r="K87" t="inlineStr">
        <is>
          <t>0.03</t>
        </is>
      </c>
      <c r="L87" t="inlineStr">
        <is>
          <t>1310</t>
        </is>
      </c>
      <c r="M87" t="inlineStr">
        <is>
          <t>1 546</t>
        </is>
      </c>
    </row>
    <row r="88">
      <c r="A88" t="inlineStr">
        <is>
          <t>T05-250301-082696</t>
        </is>
      </c>
      <c r="B88" t="inlineStr">
        <is>
          <t>2025-03-01</t>
        </is>
      </c>
      <c r="C88" t="inlineStr">
        <is>
          <t>15:07</t>
        </is>
      </c>
      <c r="D88" t="inlineStr">
        <is>
          <t>Magasin 5 — Kaya Marché</t>
        </is>
      </c>
      <c r="E88" t="inlineStr">
        <is>
          <t>Adama Bationo</t>
        </is>
      </c>
      <c r="F88" t="inlineStr">
        <is>
          <t>6420</t>
        </is>
      </c>
      <c r="G88" t="inlineStr">
        <is>
          <t>Brique de terre cuite — réf 2</t>
        </is>
      </c>
      <c r="H88" t="inlineStr">
        <is>
          <t>Matériaux</t>
        </is>
      </c>
      <c r="I88" t="inlineStr">
        <is>
          <t>1</t>
        </is>
      </c>
      <c r="J88" t="inlineStr">
        <is>
          <t>675</t>
        </is>
      </c>
      <c r="K88" t="inlineStr">
        <is>
          <t>0.0</t>
        </is>
      </c>
      <c r="L88" t="inlineStr">
        <is>
          <t>675</t>
        </is>
      </c>
      <c r="M88" t="inlineStr">
        <is>
          <t>797</t>
        </is>
      </c>
    </row>
    <row r="89">
      <c r="A89" t="inlineStr">
        <is>
          <t>T05-250301-082697</t>
        </is>
      </c>
      <c r="B89" t="inlineStr">
        <is>
          <t>2025-03-01</t>
        </is>
      </c>
      <c r="C89" t="inlineStr">
        <is>
          <t>09:49</t>
        </is>
      </c>
      <c r="D89" t="inlineStr">
        <is>
          <t>Magasin 5 — Kaya Marché</t>
        </is>
      </c>
      <c r="E89" t="inlineStr">
        <is>
          <t>Salamatu Sankara</t>
        </is>
      </c>
      <c r="F89" t="inlineStr">
        <is>
          <t>0</t>
        </is>
      </c>
      <c r="G89" t="inlineStr">
        <is>
          <t>Casque de chantier — réf 1</t>
        </is>
      </c>
      <c r="H89" t="inlineStr">
        <is>
          <t>Consommables</t>
        </is>
      </c>
      <c r="I89" t="inlineStr">
        <is>
          <t>7</t>
        </is>
      </c>
      <c r="J89" t="inlineStr">
        <is>
          <t>8250</t>
        </is>
      </c>
      <c r="K89" t="inlineStr">
        <is>
          <t>0.0</t>
        </is>
      </c>
      <c r="L89" t="inlineStr">
        <is>
          <t>57750</t>
        </is>
      </c>
      <c r="M89" t="inlineStr">
        <is>
          <t>68 145</t>
        </is>
      </c>
    </row>
    <row r="90">
      <c r="A90" t="inlineStr">
        <is>
          <t>T05-250301-082698</t>
        </is>
      </c>
      <c r="B90" t="inlineStr">
        <is>
          <t>2025-03-01</t>
        </is>
      </c>
      <c r="C90" t="inlineStr">
        <is>
          <t>10:13</t>
        </is>
      </c>
      <c r="D90" t="inlineStr">
        <is>
          <t>Magasin 5 — Kaya Marché</t>
        </is>
      </c>
      <c r="E90" t="inlineStr">
        <is>
          <t>Salamatu Sankara</t>
        </is>
      </c>
      <c r="F90" t="inlineStr">
        <is>
          <t>0</t>
        </is>
      </c>
      <c r="G90" t="inlineStr">
        <is>
          <t>Ciment CPJ35 50 kg — réf 1</t>
        </is>
      </c>
      <c r="H90" t="inlineStr">
        <is>
          <t>Matériaux</t>
        </is>
      </c>
      <c r="I90" t="inlineStr">
        <is>
          <t>7</t>
        </is>
      </c>
      <c r="J90" t="inlineStr">
        <is>
          <t>6075</t>
        </is>
      </c>
      <c r="K90" t="inlineStr">
        <is>
          <t>0.0</t>
        </is>
      </c>
      <c r="L90" t="inlineStr">
        <is>
          <t>42525</t>
        </is>
      </c>
      <c r="M90" t="inlineStr">
        <is>
          <t>50 179</t>
        </is>
      </c>
    </row>
    <row r="91">
      <c r="A91" t="inlineStr">
        <is>
          <t>T05-250301-082699</t>
        </is>
      </c>
      <c r="B91" t="inlineStr">
        <is>
          <t>2025-03-01</t>
        </is>
      </c>
      <c r="C91" t="inlineStr">
        <is>
          <t>14:52</t>
        </is>
      </c>
      <c r="D91" t="inlineStr">
        <is>
          <t>Magasin 5 — Kaya Marché</t>
        </is>
      </c>
      <c r="E91" t="inlineStr">
        <is>
          <t>Adama Bationo</t>
        </is>
      </c>
      <c r="F91" t="inlineStr">
        <is>
          <t>0</t>
        </is>
      </c>
      <c r="G91" t="inlineStr">
        <is>
          <t>WC complet avec abattant — réf 1</t>
        </is>
      </c>
      <c r="H91" t="inlineStr">
        <is>
          <t>Plomberie</t>
        </is>
      </c>
      <c r="I91" t="inlineStr">
        <is>
          <t>10</t>
        </is>
      </c>
      <c r="J91" t="inlineStr">
        <is>
          <t>26000</t>
        </is>
      </c>
      <c r="K91" t="inlineStr">
        <is>
          <t>0.0</t>
        </is>
      </c>
      <c r="L91" t="inlineStr">
        <is>
          <t>260000</t>
        </is>
      </c>
      <c r="M91" t="inlineStr">
        <is>
          <t>306 800</t>
        </is>
      </c>
    </row>
    <row r="92">
      <c r="A92" t="inlineStr">
        <is>
          <t>T05-250301-082700</t>
        </is>
      </c>
      <c r="B92" t="inlineStr">
        <is>
          <t>01/03/2025</t>
        </is>
      </c>
      <c r="C92" t="inlineStr">
        <is>
          <t>12:56</t>
        </is>
      </c>
      <c r="D92" t="inlineStr">
        <is>
          <t>Magasin 5 — Kaya Marché</t>
        </is>
      </c>
      <c r="E92" t="inlineStr">
        <is>
          <t>Boureima Ouédraogo</t>
        </is>
      </c>
      <c r="F92" t="inlineStr">
        <is>
          <t>883</t>
        </is>
      </c>
      <c r="G92" t="inlineStr">
        <is>
          <t>Carreau de pavement 40x40 — réf 2</t>
        </is>
      </c>
      <c r="H92" t="inlineStr">
        <is>
          <t>Matériaux</t>
        </is>
      </c>
      <c r="I92" t="inlineStr">
        <is>
          <t>12</t>
        </is>
      </c>
      <c r="J92" t="inlineStr">
        <is>
          <t>1050</t>
        </is>
      </c>
      <c r="K92" t="inlineStr">
        <is>
          <t>0.0</t>
        </is>
      </c>
      <c r="L92" t="inlineStr">
        <is>
          <t>12600</t>
        </is>
      </c>
      <c r="M92" t="inlineStr">
        <is>
          <t>14 868</t>
        </is>
      </c>
    </row>
    <row r="93">
      <c r="A93" t="inlineStr">
        <is>
          <t>T05-250301-082701</t>
        </is>
      </c>
      <c r="B93" t="inlineStr">
        <is>
          <t>2025-03-01</t>
        </is>
      </c>
      <c r="C93" t="inlineStr">
        <is>
          <t>15:06</t>
        </is>
      </c>
      <c r="D93" t="inlineStr">
        <is>
          <t>Magasin 5 — Kaya Marché</t>
        </is>
      </c>
      <c r="E93" t="inlineStr">
        <is>
          <t>Salamatu Sankara</t>
        </is>
      </c>
      <c r="F93" t="inlineStr">
        <is>
          <t>7687</t>
        </is>
      </c>
      <c r="G93" t="inlineStr">
        <is>
          <t>Disjoncteur 16 A — réf 2</t>
        </is>
      </c>
      <c r="H93" t="inlineStr">
        <is>
          <t>Electricité</t>
        </is>
      </c>
      <c r="I93" t="inlineStr">
        <is>
          <t>3</t>
        </is>
      </c>
      <c r="J93" t="inlineStr">
        <is>
          <t>11425</t>
        </is>
      </c>
      <c r="K93" t="inlineStr">
        <is>
          <t>0.0</t>
        </is>
      </c>
      <c r="L93" t="inlineStr">
        <is>
          <t>34275</t>
        </is>
      </c>
      <c r="M93" t="inlineStr">
        <is>
          <t>40 445</t>
        </is>
      </c>
    </row>
    <row r="94">
      <c r="A94" t="inlineStr">
        <is>
          <t>T05-250301-082702</t>
        </is>
      </c>
      <c r="B94" t="inlineStr">
        <is>
          <t>2025-03-01</t>
        </is>
      </c>
      <c r="C94" t="inlineStr">
        <is>
          <t>13:06</t>
        </is>
      </c>
      <c r="D94" t="inlineStr">
        <is>
          <t>Magasin 5 — Kaya Marché</t>
        </is>
      </c>
      <c r="E94" t="inlineStr">
        <is>
          <t>Salamatu Sankara</t>
        </is>
      </c>
      <c r="F94" t="inlineStr">
        <is>
          <t>0</t>
        </is>
      </c>
      <c r="G94" t="inlineStr">
        <is>
          <t>Pavé autobloquant — réf 2</t>
        </is>
      </c>
      <c r="H94" t="inlineStr">
        <is>
          <t>Matériaux</t>
        </is>
      </c>
      <c r="I94" t="inlineStr">
        <is>
          <t>14</t>
        </is>
      </c>
      <c r="J94" t="inlineStr">
        <is>
          <t>700</t>
        </is>
      </c>
      <c r="K94" t="inlineStr">
        <is>
          <t>0.0</t>
        </is>
      </c>
      <c r="L94" t="inlineStr">
        <is>
          <t>9800</t>
        </is>
      </c>
      <c r="M94" t="inlineStr">
        <is>
          <t>11 564</t>
        </is>
      </c>
    </row>
    <row r="95">
      <c r="A95" t="inlineStr">
        <is>
          <t>T05-250301-082703</t>
        </is>
      </c>
      <c r="B95" t="inlineStr">
        <is>
          <t>2025-03-01</t>
        </is>
      </c>
      <c r="C95" t="inlineStr">
        <is>
          <t>14:57</t>
        </is>
      </c>
      <c r="D95" t="inlineStr">
        <is>
          <t>Magasin 5 — Kaya Marché</t>
        </is>
      </c>
      <c r="E95" t="inlineStr">
        <is>
          <t>Boureima Ouédraogo</t>
        </is>
      </c>
      <c r="F95" t="inlineStr">
        <is>
          <t>13808</t>
        </is>
      </c>
      <c r="G95" t="inlineStr">
        <is>
          <t>Hourdis creux 12 — réf 1</t>
        </is>
      </c>
      <c r="H95" t="inlineStr">
        <is>
          <t>Matériaux</t>
        </is>
      </c>
      <c r="I95" t="inlineStr">
        <is>
          <t>1</t>
        </is>
      </c>
      <c r="J95" t="inlineStr">
        <is>
          <t>1025</t>
        </is>
      </c>
      <c r="K95" t="inlineStr">
        <is>
          <t>0.0</t>
        </is>
      </c>
      <c r="L95" t="inlineStr">
        <is>
          <t>1025</t>
        </is>
      </c>
      <c r="M95" t="inlineStr">
        <is>
          <t>1 209</t>
        </is>
      </c>
    </row>
    <row r="96">
      <c r="A96" t="inlineStr">
        <is>
          <t>T05-250301-082704</t>
        </is>
      </c>
      <c r="B96" t="inlineStr">
        <is>
          <t>2025-03-01</t>
        </is>
      </c>
      <c r="C96" t="inlineStr">
        <is>
          <t>08:11</t>
        </is>
      </c>
      <c r="D96" t="inlineStr">
        <is>
          <t>Magasin 5 — Kaya Marché</t>
        </is>
      </c>
      <c r="E96" t="inlineStr">
        <is>
          <t>Moussa Ilboudo</t>
        </is>
      </c>
      <c r="F96" t="inlineStr">
        <is>
          <t>20941</t>
        </is>
      </c>
      <c r="G96" t="inlineStr">
        <is>
          <t>Coude PVC 90° 100 — réf 1</t>
        </is>
      </c>
      <c r="H96" t="inlineStr">
        <is>
          <t>Plomberie</t>
        </is>
      </c>
      <c r="I96" t="inlineStr">
        <is>
          <t>6</t>
        </is>
      </c>
      <c r="J96" t="inlineStr">
        <is>
          <t>4100</t>
        </is>
      </c>
      <c r="K96" t="inlineStr">
        <is>
          <t>0.08</t>
        </is>
      </c>
      <c r="L96" t="inlineStr">
        <is>
          <t>22632</t>
        </is>
      </c>
      <c r="M96" t="inlineStr">
        <is>
          <t>26 706</t>
        </is>
      </c>
    </row>
    <row r="97">
      <c r="A97" t="inlineStr">
        <is>
          <t>T05-250301-082705</t>
        </is>
      </c>
      <c r="B97" t="inlineStr">
        <is>
          <t>2025-03-01</t>
        </is>
      </c>
      <c r="C97" t="inlineStr">
        <is>
          <t>18:54</t>
        </is>
      </c>
      <c r="D97" t="inlineStr">
        <is>
          <t>Magasin 5 — Kaya Marché</t>
        </is>
      </c>
      <c r="E97" t="inlineStr">
        <is>
          <t>Salamatu Sankara</t>
        </is>
      </c>
      <c r="F97" t="inlineStr">
        <is>
          <t>10237</t>
        </is>
      </c>
      <c r="G97" t="inlineStr">
        <is>
          <t>Chasse d'eau 6 L — réf 1</t>
        </is>
      </c>
      <c r="H97" t="inlineStr">
        <is>
          <t>Plomberie</t>
        </is>
      </c>
      <c r="I97" t="inlineStr">
        <is>
          <t>3</t>
        </is>
      </c>
      <c r="J97" t="inlineStr">
        <is>
          <t>26425</t>
        </is>
      </c>
      <c r="K97" t="inlineStr">
        <is>
          <t>0.04</t>
        </is>
      </c>
      <c r="L97" t="inlineStr">
        <is>
          <t>76104</t>
        </is>
      </c>
      <c r="M97" t="inlineStr">
        <is>
          <t>89 803</t>
        </is>
      </c>
    </row>
    <row r="98">
      <c r="A98" t="inlineStr">
        <is>
          <t>T05-250301-082706</t>
        </is>
      </c>
      <c r="B98" t="inlineStr">
        <is>
          <t>2025-03-01</t>
        </is>
      </c>
      <c r="C98" t="inlineStr">
        <is>
          <t>17:38</t>
        </is>
      </c>
      <c r="D98" t="inlineStr">
        <is>
          <t>Magasin 5 — Kaya Marché</t>
        </is>
      </c>
      <c r="E98" t="inlineStr">
        <is>
          <t>Adama Bationo</t>
        </is>
      </c>
      <c r="F98" t="inlineStr">
        <is>
          <t>22579</t>
        </is>
      </c>
      <c r="G98" t="inlineStr">
        <is>
          <t>Pointe 100 mm (kg) — réf 2</t>
        </is>
      </c>
      <c r="H98" t="inlineStr">
        <is>
          <t>Quincaillerie</t>
        </is>
      </c>
      <c r="I98" t="inlineStr">
        <is>
          <t>16</t>
        </is>
      </c>
      <c r="J98" t="inlineStr">
        <is>
          <t>1425</t>
        </is>
      </c>
      <c r="K98" t="inlineStr">
        <is>
          <t>0.0</t>
        </is>
      </c>
      <c r="L98" t="inlineStr">
        <is>
          <t>22800</t>
        </is>
      </c>
      <c r="M98" t="inlineStr">
        <is>
          <t>26 904</t>
        </is>
      </c>
    </row>
    <row r="99">
      <c r="A99" t="inlineStr">
        <is>
          <t>T05-250301-082707</t>
        </is>
      </c>
      <c r="B99" t="inlineStr">
        <is>
          <t>2025-03-01</t>
        </is>
      </c>
      <c r="C99" t="inlineStr">
        <is>
          <t>08:26</t>
        </is>
      </c>
      <c r="D99" t="inlineStr">
        <is>
          <t>Magasin 5 — Kaya Marché</t>
        </is>
      </c>
      <c r="E99" t="inlineStr">
        <is>
          <t>Adama Bationo</t>
        </is>
      </c>
      <c r="F99" t="inlineStr">
        <is>
          <t>4847</t>
        </is>
      </c>
      <c r="G99" t="inlineStr">
        <is>
          <t>Pince coupante 200 mm — réf 1</t>
        </is>
      </c>
      <c r="H99" t="inlineStr">
        <is>
          <t>Quincaillerie</t>
        </is>
      </c>
      <c r="I99" t="inlineStr">
        <is>
          <t>6</t>
        </is>
      </c>
      <c r="J99" t="inlineStr">
        <is>
          <t>5400</t>
        </is>
      </c>
      <c r="K99" t="inlineStr">
        <is>
          <t>0.0</t>
        </is>
      </c>
      <c r="L99" t="inlineStr">
        <is>
          <t>32400</t>
        </is>
      </c>
      <c r="M99" t="inlineStr">
        <is>
          <t>38 232</t>
        </is>
      </c>
    </row>
    <row r="100">
      <c r="A100" t="inlineStr">
        <is>
          <t>T05-250301-082708</t>
        </is>
      </c>
      <c r="B100" t="inlineStr">
        <is>
          <t>2025-03-01</t>
        </is>
      </c>
      <c r="C100" t="inlineStr">
        <is>
          <t>16:04</t>
        </is>
      </c>
      <c r="D100" t="inlineStr">
        <is>
          <t>Magasin 5 — Kaya Marché</t>
        </is>
      </c>
      <c r="E100" t="inlineStr">
        <is>
          <t>Moussa Ilboudo</t>
        </is>
      </c>
      <c r="F100" t="inlineStr">
        <is>
          <t>9774</t>
        </is>
      </c>
      <c r="G100" t="inlineStr">
        <is>
          <t>Casque de chantier — réf 2</t>
        </is>
      </c>
      <c r="H100" t="inlineStr">
        <is>
          <t>Consommables</t>
        </is>
      </c>
      <c r="I100" t="inlineStr">
        <is>
          <t>1</t>
        </is>
      </c>
      <c r="J100" t="inlineStr">
        <is>
          <t>5375</t>
        </is>
      </c>
      <c r="K100" t="inlineStr">
        <is>
          <t>0.08</t>
        </is>
      </c>
      <c r="L100" t="inlineStr">
        <is>
          <t>4945</t>
        </is>
      </c>
      <c r="M100" t="inlineStr">
        <is>
          <t>5 835</t>
        </is>
      </c>
    </row>
    <row r="101">
      <c r="A101" t="inlineStr">
        <is>
          <t>T05-250301-082709</t>
        </is>
      </c>
      <c r="B101" t="inlineStr">
        <is>
          <t>2025-03-01</t>
        </is>
      </c>
      <c r="C101" t="inlineStr">
        <is>
          <t>15:43</t>
        </is>
      </c>
      <c r="D101" t="inlineStr">
        <is>
          <t>Magasin 5 — Kaya Marché</t>
        </is>
      </c>
      <c r="E101" t="inlineStr">
        <is>
          <t>Boureima Ouédraogo</t>
        </is>
      </c>
      <c r="F101" t="inlineStr">
        <is>
          <t>18220</t>
        </is>
      </c>
      <c r="G101" t="inlineStr">
        <is>
          <t>Baguette de finition 2,4 m — réf 2</t>
        </is>
      </c>
      <c r="H101" t="inlineStr">
        <is>
          <t>Bois &amp; panneaux</t>
        </is>
      </c>
      <c r="I101" t="inlineStr">
        <is>
          <t>46</t>
        </is>
      </c>
      <c r="J101" t="inlineStr">
        <is>
          <t>14425</t>
        </is>
      </c>
      <c r="K101" t="inlineStr">
        <is>
          <t>0.0</t>
        </is>
      </c>
      <c r="L101" t="inlineStr">
        <is>
          <t>663550</t>
        </is>
      </c>
      <c r="M101" t="inlineStr">
        <is>
          <t>782 989</t>
        </is>
      </c>
    </row>
    <row r="102">
      <c r="A102" t="inlineStr">
        <is>
          <t>T05-250301-082710</t>
        </is>
      </c>
      <c r="B102" t="inlineStr">
        <is>
          <t>2025-03-01</t>
        </is>
      </c>
      <c r="C102" t="inlineStr">
        <is>
          <t>11:12</t>
        </is>
      </c>
      <c r="D102" t="inlineStr">
        <is>
          <t>Magasin 5 — Kaya Marché</t>
        </is>
      </c>
      <c r="E102" t="inlineStr">
        <is>
          <t>Salamatu Sankara</t>
        </is>
      </c>
      <c r="F102" t="inlineStr">
        <is>
          <t>0</t>
        </is>
      </c>
      <c r="G102" t="inlineStr">
        <is>
          <t>Lame de lambris 4 m — réf 2</t>
        </is>
      </c>
      <c r="H102" t="inlineStr">
        <is>
          <t>Bois &amp; panneaux</t>
        </is>
      </c>
      <c r="I102" t="inlineStr">
        <is>
          <t>2</t>
        </is>
      </c>
      <c r="J102" t="inlineStr">
        <is>
          <t>15525</t>
        </is>
      </c>
      <c r="K102" t="inlineStr">
        <is>
          <t>0.0</t>
        </is>
      </c>
      <c r="L102" t="inlineStr">
        <is>
          <t>31050</t>
        </is>
      </c>
      <c r="M102" t="inlineStr">
        <is>
          <t>36 639</t>
        </is>
      </c>
    </row>
    <row r="103">
      <c r="A103" t="inlineStr">
        <is>
          <t>T05-250301-082711</t>
        </is>
      </c>
      <c r="B103" t="inlineStr">
        <is>
          <t>01/03/2025</t>
        </is>
      </c>
      <c r="C103" t="inlineStr">
        <is>
          <t>16:03</t>
        </is>
      </c>
      <c r="D103" t="inlineStr">
        <is>
          <t>Magasin 5 — Kaya Marché</t>
        </is>
      </c>
      <c r="E103" t="inlineStr">
        <is>
          <t>Salamatu Sankara</t>
        </is>
      </c>
      <c r="F103" t="inlineStr">
        <is>
          <t>11669</t>
        </is>
      </c>
      <c r="G103" t="inlineStr">
        <is>
          <t>Gants anti-coupure (paire) — réf 1</t>
        </is>
      </c>
      <c r="H103" t="inlineStr">
        <is>
          <t>Consommables</t>
        </is>
      </c>
      <c r="I103" t="inlineStr">
        <is>
          <t>2</t>
        </is>
      </c>
      <c r="J103" t="inlineStr">
        <is>
          <t>8725</t>
        </is>
      </c>
      <c r="K103" t="inlineStr">
        <is>
          <t>0.0</t>
        </is>
      </c>
      <c r="L103" t="inlineStr">
        <is>
          <t>17450</t>
        </is>
      </c>
      <c r="M103" t="inlineStr">
        <is>
          <t>20 591</t>
        </is>
      </c>
    </row>
    <row r="104">
      <c r="A104" t="inlineStr">
        <is>
          <t>T05-250301-082712</t>
        </is>
      </c>
      <c r="B104" t="inlineStr">
        <is>
          <t>2025-03-01</t>
        </is>
      </c>
      <c r="C104" t="inlineStr">
        <is>
          <t>08:39</t>
        </is>
      </c>
      <c r="D104" t="inlineStr">
        <is>
          <t>Magasin 5 — Kaya Marché</t>
        </is>
      </c>
      <c r="E104" t="inlineStr">
        <is>
          <t>Moussa Ilboudo</t>
        </is>
      </c>
      <c r="F104" t="inlineStr">
        <is>
          <t>9105</t>
        </is>
      </c>
      <c r="G104" t="inlineStr">
        <is>
          <t>Fer à béton 8 mm (barre) — réf 2</t>
        </is>
      </c>
      <c r="H104" t="inlineStr">
        <is>
          <t>Quincaillerie</t>
        </is>
      </c>
      <c r="I104" t="inlineStr">
        <is>
          <t>19</t>
        </is>
      </c>
      <c r="J104" t="inlineStr">
        <is>
          <t>2225</t>
        </is>
      </c>
      <c r="K104" t="inlineStr">
        <is>
          <t>0.04</t>
        </is>
      </c>
      <c r="L104" t="inlineStr">
        <is>
          <t>40584</t>
        </is>
      </c>
      <c r="M104" t="inlineStr">
        <is>
          <t>47 889</t>
        </is>
      </c>
    </row>
    <row r="105">
      <c r="A105" t="inlineStr">
        <is>
          <t>T05-250301-082713</t>
        </is>
      </c>
      <c r="B105" t="inlineStr">
        <is>
          <t>2025-03-01</t>
        </is>
      </c>
      <c r="C105" t="inlineStr">
        <is>
          <t>18:03</t>
        </is>
      </c>
      <c r="D105" t="inlineStr">
        <is>
          <t>Magasin 5 — Kaya Marché</t>
        </is>
      </c>
      <c r="E105" t="inlineStr">
        <is>
          <t>Moussa Ilboudo</t>
        </is>
      </c>
      <c r="F105" t="inlineStr">
        <is>
          <t>5096</t>
        </is>
      </c>
      <c r="G105" t="inlineStr">
        <is>
          <t>Fer à béton 8 mm (barre) — réf 2</t>
        </is>
      </c>
      <c r="H105" t="inlineStr">
        <is>
          <t>Quincaillerie</t>
        </is>
      </c>
      <c r="I105" t="inlineStr">
        <is>
          <t>10</t>
        </is>
      </c>
      <c r="J105" t="inlineStr">
        <is>
          <t>2300</t>
        </is>
      </c>
      <c r="K105" t="inlineStr">
        <is>
          <t>0.0</t>
        </is>
      </c>
      <c r="L105" t="inlineStr">
        <is>
          <t>23000</t>
        </is>
      </c>
      <c r="M105" t="inlineStr">
        <is>
          <t>27 140</t>
        </is>
      </c>
    </row>
    <row r="106">
      <c r="A106" t="inlineStr">
        <is>
          <t>T05-250301-082714</t>
        </is>
      </c>
      <c r="B106" t="inlineStr">
        <is>
          <t>2025-03-01</t>
        </is>
      </c>
      <c r="C106" t="inlineStr">
        <is>
          <t>15:15</t>
        </is>
      </c>
      <c r="D106" t="inlineStr">
        <is>
          <t>Magasin 5 — Kaya Marché</t>
        </is>
      </c>
      <c r="E106" t="inlineStr">
        <is>
          <t>Boureima Ouédraogo</t>
        </is>
      </c>
      <c r="F106" t="inlineStr">
        <is>
          <t>20513</t>
        </is>
      </c>
      <c r="G106" t="inlineStr">
        <is>
          <t>Enduit de lissage 20 kg — réf 1</t>
        </is>
      </c>
      <c r="H106" t="inlineStr">
        <is>
          <t>Matériaux</t>
        </is>
      </c>
      <c r="I106" t="inlineStr">
        <is>
          <t>5</t>
        </is>
      </c>
      <c r="J106" t="inlineStr">
        <is>
          <t>7500</t>
        </is>
      </c>
      <c r="K106" t="inlineStr">
        <is>
          <t>0.0</t>
        </is>
      </c>
      <c r="L106" t="inlineStr">
        <is>
          <t>37500</t>
        </is>
      </c>
      <c r="M106" t="inlineStr">
        <is>
          <t>44 250</t>
        </is>
      </c>
    </row>
    <row r="107">
      <c r="A107" t="inlineStr">
        <is>
          <t>T05-250301-082715</t>
        </is>
      </c>
      <c r="B107" t="inlineStr">
        <is>
          <t>2025-03-01</t>
        </is>
      </c>
      <c r="C107" t="inlineStr">
        <is>
          <t>13:49</t>
        </is>
      </c>
      <c r="D107" t="inlineStr">
        <is>
          <t>Magasin 5 — Kaya Marché</t>
        </is>
      </c>
      <c r="E107" t="inlineStr">
        <is>
          <t>Boureima Ouédraogo</t>
        </is>
      </c>
      <c r="F107" t="inlineStr">
        <is>
          <t>3696</t>
        </is>
      </c>
      <c r="G107" t="inlineStr">
        <is>
          <t>Perforateur 800 W — réf 2</t>
        </is>
      </c>
      <c r="H107" t="inlineStr">
        <is>
          <t>Quincaillerie</t>
        </is>
      </c>
      <c r="I107" t="inlineStr">
        <is>
          <t>6</t>
        </is>
      </c>
      <c r="J107" t="inlineStr">
        <is>
          <t>5650</t>
        </is>
      </c>
      <c r="K107" t="inlineStr">
        <is>
          <t>0.0</t>
        </is>
      </c>
      <c r="L107" t="inlineStr">
        <is>
          <t>33900</t>
        </is>
      </c>
      <c r="M107" t="inlineStr">
        <is>
          <t>40 002</t>
        </is>
      </c>
    </row>
    <row r="108">
      <c r="A108" t="inlineStr">
        <is>
          <t>T05-250302-082743</t>
        </is>
      </c>
      <c r="B108" t="inlineStr">
        <is>
          <t>2025-03-02</t>
        </is>
      </c>
      <c r="C108" t="inlineStr">
        <is>
          <t>13:34</t>
        </is>
      </c>
      <c r="D108" t="inlineStr">
        <is>
          <t>Magasin 5 — Kaya Marché</t>
        </is>
      </c>
      <c r="E108" t="inlineStr">
        <is>
          <t>Boureima Ouédraogo</t>
        </is>
      </c>
      <c r="F108" t="inlineStr">
        <is>
          <t>18255</t>
        </is>
      </c>
      <c r="G108" t="inlineStr">
        <is>
          <t>WC complet avec abattant — réf 1</t>
        </is>
      </c>
      <c r="H108" t="inlineStr">
        <is>
          <t>Plomberie</t>
        </is>
      </c>
      <c r="I108" t="inlineStr">
        <is>
          <t>6</t>
        </is>
      </c>
      <c r="J108" t="inlineStr">
        <is>
          <t>27000</t>
        </is>
      </c>
      <c r="K108" t="inlineStr">
        <is>
          <t>0.0</t>
        </is>
      </c>
      <c r="L108" t="inlineStr">
        <is>
          <t>162000</t>
        </is>
      </c>
      <c r="M108" t="inlineStr">
        <is>
          <t>191 160</t>
        </is>
      </c>
    </row>
    <row r="109">
      <c r="A109" t="inlineStr">
        <is>
          <t>T05-250302-082743</t>
        </is>
      </c>
      <c r="B109" t="inlineStr">
        <is>
          <t>2025-03-02</t>
        </is>
      </c>
      <c r="C109" t="inlineStr">
        <is>
          <t>10:09</t>
        </is>
      </c>
      <c r="D109" t="inlineStr">
        <is>
          <t>Magasin 5 — Kaya Marché</t>
        </is>
      </c>
      <c r="E109" t="inlineStr">
        <is>
          <t>Boureima Ouédraogo</t>
        </is>
      </c>
      <c r="F109" t="inlineStr">
        <is>
          <t>14924</t>
        </is>
      </c>
      <c r="G109" t="inlineStr">
        <is>
          <t>Sac de transport 100 kg — réf 1</t>
        </is>
      </c>
      <c r="H109" t="inlineStr">
        <is>
          <t>Consommables</t>
        </is>
      </c>
      <c r="I109" t="inlineStr">
        <is>
          <t>6</t>
        </is>
      </c>
      <c r="J109" t="inlineStr">
        <is>
          <t>8575</t>
        </is>
      </c>
      <c r="K109" t="inlineStr">
        <is>
          <t>0.0</t>
        </is>
      </c>
      <c r="L109" t="inlineStr">
        <is>
          <t>51450</t>
        </is>
      </c>
      <c r="M109" t="inlineStr">
        <is>
          <t>60 711</t>
        </is>
      </c>
    </row>
    <row r="110">
      <c r="A110" t="inlineStr">
        <is>
          <t>T05-250302-082743</t>
        </is>
      </c>
      <c r="B110" t="inlineStr">
        <is>
          <t>2025-03-02</t>
        </is>
      </c>
      <c r="C110" t="inlineStr">
        <is>
          <t>13:32</t>
        </is>
      </c>
      <c r="D110" t="inlineStr">
        <is>
          <t>Magasin 5 — Kaya Marché</t>
        </is>
      </c>
      <c r="E110" t="inlineStr">
        <is>
          <t>Boureima Ouédraogo</t>
        </is>
      </c>
      <c r="F110" t="inlineStr">
        <is>
          <t>0</t>
        </is>
      </c>
      <c r="G110" t="inlineStr">
        <is>
          <t>Peinture acrylique blanc 10 L — réf 1</t>
        </is>
      </c>
      <c r="H110" t="inlineStr">
        <is>
          <t>Peinture</t>
        </is>
      </c>
      <c r="I110" t="inlineStr">
        <is>
          <t>6</t>
        </is>
      </c>
      <c r="J110" t="inlineStr">
        <is>
          <t>4225</t>
        </is>
      </c>
      <c r="K110" t="inlineStr">
        <is>
          <t>0.0</t>
        </is>
      </c>
      <c r="L110" t="inlineStr">
        <is>
          <t>25350</t>
        </is>
      </c>
      <c r="M110" t="inlineStr">
        <is>
          <t>29 913</t>
        </is>
      </c>
    </row>
    <row r="111">
      <c r="A111" t="inlineStr">
        <is>
          <t>T05-250302-082744</t>
        </is>
      </c>
      <c r="B111" t="inlineStr">
        <is>
          <t>2025-03-02</t>
        </is>
      </c>
      <c r="C111" t="inlineStr">
        <is>
          <t>10:07</t>
        </is>
      </c>
      <c r="D111" t="inlineStr">
        <is>
          <t>Magasin 5 — Kaya Marché</t>
        </is>
      </c>
      <c r="E111" t="inlineStr">
        <is>
          <t>Moussa Ilboudo</t>
        </is>
      </c>
      <c r="F111" t="inlineStr">
        <is>
          <t>8700</t>
        </is>
      </c>
      <c r="G111" t="inlineStr">
        <is>
          <t>Plâtre de construction 25 kg — réf 2</t>
        </is>
      </c>
      <c r="H111" t="inlineStr">
        <is>
          <t>Matériaux</t>
        </is>
      </c>
      <c r="I111" t="inlineStr">
        <is>
          <t>5</t>
        </is>
      </c>
      <c r="J111" t="inlineStr">
        <is>
          <t>5875</t>
        </is>
      </c>
      <c r="K111" t="inlineStr">
        <is>
          <t>0.0</t>
        </is>
      </c>
      <c r="L111" t="inlineStr">
        <is>
          <t>29375</t>
        </is>
      </c>
      <c r="M111" t="inlineStr">
        <is>
          <t>34 663</t>
        </is>
      </c>
    </row>
    <row r="112">
      <c r="A112" t="inlineStr">
        <is>
          <t>T05-250302-082744</t>
        </is>
      </c>
      <c r="B112" t="inlineStr">
        <is>
          <t>2025-03-02</t>
        </is>
      </c>
      <c r="C112" t="inlineStr">
        <is>
          <t>18:31</t>
        </is>
      </c>
      <c r="D112" t="inlineStr">
        <is>
          <t>Magasin 5 — Kaya Marché</t>
        </is>
      </c>
      <c r="E112" t="inlineStr">
        <is>
          <t>Adama Bationo</t>
        </is>
      </c>
      <c r="F112" t="inlineStr">
        <is>
          <t>2149</t>
        </is>
      </c>
      <c r="G112" t="inlineStr">
        <is>
          <t>Parpaing 15 aggloméré — réf 1</t>
        </is>
      </c>
      <c r="H112" t="inlineStr">
        <is>
          <t>Matériaux</t>
        </is>
      </c>
      <c r="I112" t="inlineStr">
        <is>
          <t>11</t>
        </is>
      </c>
      <c r="J112" t="inlineStr">
        <is>
          <t>1425</t>
        </is>
      </c>
      <c r="K112" t="inlineStr">
        <is>
          <t>0.0</t>
        </is>
      </c>
      <c r="L112" t="inlineStr">
        <is>
          <t>15675</t>
        </is>
      </c>
      <c r="M112" t="inlineStr">
        <is>
          <t>18 497</t>
        </is>
      </c>
    </row>
    <row r="113">
      <c r="A113" t="inlineStr">
        <is>
          <t>T05-250302-082744</t>
        </is>
      </c>
      <c r="B113" t="inlineStr">
        <is>
          <t>2025-03-02</t>
        </is>
      </c>
      <c r="C113" t="inlineStr">
        <is>
          <t>08:47</t>
        </is>
      </c>
      <c r="D113" t="inlineStr">
        <is>
          <t>Magasin 5 — Kaya Marché</t>
        </is>
      </c>
      <c r="E113" t="inlineStr">
        <is>
          <t>Boureima Ouédraogo</t>
        </is>
      </c>
      <c r="F113" t="inlineStr">
        <is>
          <t>3668</t>
        </is>
      </c>
      <c r="G113" t="inlineStr">
        <is>
          <t>Marteau de menuisier — réf 2</t>
        </is>
      </c>
      <c r="H113" t="inlineStr">
        <is>
          <t>Quincaillerie</t>
        </is>
      </c>
      <c r="I113" t="inlineStr">
        <is>
          <t>4</t>
        </is>
      </c>
      <c r="J113" t="inlineStr">
        <is>
          <t>8725</t>
        </is>
      </c>
      <c r="K113" t="inlineStr">
        <is>
          <t>0.0</t>
        </is>
      </c>
      <c r="L113" t="inlineStr">
        <is>
          <t>34900</t>
        </is>
      </c>
      <c r="M113" t="inlineStr">
        <is>
          <t>41 182</t>
        </is>
      </c>
    </row>
    <row r="114">
      <c r="A114" t="inlineStr">
        <is>
          <t>T05-250302-082745</t>
        </is>
      </c>
      <c r="B114" t="inlineStr">
        <is>
          <t>2025-03-02</t>
        </is>
      </c>
      <c r="C114" t="inlineStr">
        <is>
          <t>11:13</t>
        </is>
      </c>
      <c r="D114" t="inlineStr">
        <is>
          <t>Magasin 5 — Kaya Marché</t>
        </is>
      </c>
      <c r="E114" t="inlineStr">
        <is>
          <t>Adama Bationo</t>
        </is>
      </c>
      <c r="F114" t="inlineStr"/>
      <c r="G114" t="inlineStr">
        <is>
          <t>Tout-venant (m3) — réf 1</t>
        </is>
      </c>
      <c r="H114" t="inlineStr">
        <is>
          <t>Matériaux</t>
        </is>
      </c>
      <c r="I114" t="inlineStr">
        <is>
          <t>9</t>
        </is>
      </c>
      <c r="J114" t="inlineStr">
        <is>
          <t>16475</t>
        </is>
      </c>
      <c r="K114" t="inlineStr">
        <is>
          <t>0.0</t>
        </is>
      </c>
      <c r="L114" t="inlineStr">
        <is>
          <t>148275</t>
        </is>
      </c>
      <c r="M114" t="inlineStr">
        <is>
          <t>174 965</t>
        </is>
      </c>
    </row>
    <row r="115">
      <c r="A115" t="inlineStr">
        <is>
          <t>T05-250302-082745</t>
        </is>
      </c>
      <c r="B115" t="inlineStr">
        <is>
          <t>2025-03-02</t>
        </is>
      </c>
      <c r="C115" t="inlineStr">
        <is>
          <t>11:52</t>
        </is>
      </c>
      <c r="D115" t="inlineStr">
        <is>
          <t>Magasin 5 — Kaya Marché</t>
        </is>
      </c>
      <c r="E115" t="inlineStr">
        <is>
          <t>Adama Bationo</t>
        </is>
      </c>
      <c r="F115" t="inlineStr">
        <is>
          <t>19185</t>
        </is>
      </c>
      <c r="G115" t="inlineStr">
        <is>
          <t>Lampe solaire murale — réf 1</t>
        </is>
      </c>
      <c r="H115" t="inlineStr">
        <is>
          <t>Electricité</t>
        </is>
      </c>
      <c r="I115" t="inlineStr">
        <is>
          <t>3</t>
        </is>
      </c>
      <c r="J115" t="inlineStr">
        <is>
          <t>10175</t>
        </is>
      </c>
      <c r="K115" t="inlineStr">
        <is>
          <t>0.0</t>
        </is>
      </c>
      <c r="L115" t="inlineStr">
        <is>
          <t>30525</t>
        </is>
      </c>
      <c r="M115" t="inlineStr">
        <is>
          <t>36 019</t>
        </is>
      </c>
    </row>
    <row r="116">
      <c r="A116" t="inlineStr">
        <is>
          <t>T05-250303-082910</t>
        </is>
      </c>
      <c r="B116" t="inlineStr">
        <is>
          <t>2025-03-03</t>
        </is>
      </c>
      <c r="C116" t="inlineStr">
        <is>
          <t>08:03</t>
        </is>
      </c>
      <c r="D116" t="inlineStr">
        <is>
          <t>Magasin 5 — Kaya Marché</t>
        </is>
      </c>
      <c r="E116" t="inlineStr">
        <is>
          <t>Moussa Ilboudo</t>
        </is>
      </c>
      <c r="F116" t="inlineStr">
        <is>
          <t>0</t>
        </is>
      </c>
      <c r="G116" t="inlineStr">
        <is>
          <t>Marteau de menuisier — réf 2</t>
        </is>
      </c>
      <c r="H116" t="inlineStr">
        <is>
          <t>Quincaillerie</t>
        </is>
      </c>
      <c r="I116" t="inlineStr">
        <is>
          <t>1</t>
        </is>
      </c>
      <c r="J116" t="inlineStr">
        <is>
          <t>8775</t>
        </is>
      </c>
      <c r="K116" t="inlineStr">
        <is>
          <t>0.0</t>
        </is>
      </c>
      <c r="L116" t="inlineStr">
        <is>
          <t>8775</t>
        </is>
      </c>
      <c r="M116" t="inlineStr">
        <is>
          <t>10 355</t>
        </is>
      </c>
    </row>
    <row r="117">
      <c r="A117" t="inlineStr">
        <is>
          <t>T05-250303-082910</t>
        </is>
      </c>
      <c r="B117" t="inlineStr">
        <is>
          <t>2025-03-03</t>
        </is>
      </c>
      <c r="C117" t="inlineStr">
        <is>
          <t>16:39</t>
        </is>
      </c>
      <c r="D117" t="inlineStr">
        <is>
          <t>Magasin 5 — Kaya Marché</t>
        </is>
      </c>
      <c r="E117" t="inlineStr">
        <is>
          <t>Salamatu Sankara</t>
        </is>
      </c>
      <c r="F117" t="inlineStr">
        <is>
          <t>4415</t>
        </is>
      </c>
      <c r="G117" t="inlineStr">
        <is>
          <t>Tableau 18 modules — réf 2</t>
        </is>
      </c>
      <c r="H117" t="inlineStr">
        <is>
          <t>Electricité</t>
        </is>
      </c>
      <c r="I117" t="inlineStr">
        <is>
          <t>1</t>
        </is>
      </c>
      <c r="J117" t="inlineStr">
        <is>
          <t>9075</t>
        </is>
      </c>
      <c r="K117" t="inlineStr">
        <is>
          <t>0.0</t>
        </is>
      </c>
      <c r="L117" t="inlineStr">
        <is>
          <t>9075</t>
        </is>
      </c>
      <c r="M117" t="inlineStr">
        <is>
          <t>10 709</t>
        </is>
      </c>
    </row>
    <row r="118">
      <c r="A118" t="inlineStr">
        <is>
          <t>T05-250303-082911</t>
        </is>
      </c>
      <c r="B118" t="inlineStr">
        <is>
          <t>2025-03-03</t>
        </is>
      </c>
      <c r="C118" t="inlineStr">
        <is>
          <t>07:06</t>
        </is>
      </c>
      <c r="D118" t="inlineStr">
        <is>
          <t>Magasin 5 — Kaya Marché</t>
        </is>
      </c>
      <c r="E118" t="inlineStr">
        <is>
          <t>Salamatu Sankara</t>
        </is>
      </c>
      <c r="F118" t="inlineStr">
        <is>
          <t>13669</t>
        </is>
      </c>
      <c r="G118" t="inlineStr">
        <is>
          <t>Brouette 90 L — réf 2</t>
        </is>
      </c>
      <c r="H118" t="inlineStr">
        <is>
          <t>Consommables</t>
        </is>
      </c>
      <c r="I118" t="inlineStr">
        <is>
          <t>1</t>
        </is>
      </c>
      <c r="J118" t="inlineStr">
        <is>
          <t>9875</t>
        </is>
      </c>
      <c r="K118" t="inlineStr">
        <is>
          <t>0.0</t>
        </is>
      </c>
      <c r="L118" t="inlineStr">
        <is>
          <t>9875</t>
        </is>
      </c>
      <c r="M118" t="inlineStr">
        <is>
          <t>11 653</t>
        </is>
      </c>
    </row>
    <row r="119">
      <c r="A119" t="inlineStr">
        <is>
          <t>T05-250303-082911</t>
        </is>
      </c>
      <c r="B119" t="inlineStr">
        <is>
          <t>2025-03-03</t>
        </is>
      </c>
      <c r="C119" t="inlineStr">
        <is>
          <t>09:44</t>
        </is>
      </c>
      <c r="D119" t="inlineStr">
        <is>
          <t>Magasin 5 — Kaya Marché</t>
        </is>
      </c>
      <c r="E119" t="inlineStr">
        <is>
          <t>Salamatu Sankara</t>
        </is>
      </c>
      <c r="F119" t="inlineStr">
        <is>
          <t>5228</t>
        </is>
      </c>
      <c r="G119" t="inlineStr">
        <is>
          <t>Marteau de menuisier — réf 1</t>
        </is>
      </c>
      <c r="H119" t="inlineStr">
        <is>
          <t>Quincaillerie</t>
        </is>
      </c>
      <c r="I119" t="inlineStr">
        <is>
          <t>8</t>
        </is>
      </c>
      <c r="J119" t="inlineStr">
        <is>
          <t>9400</t>
        </is>
      </c>
      <c r="K119" t="inlineStr">
        <is>
          <t>0.08</t>
        </is>
      </c>
      <c r="L119" t="inlineStr">
        <is>
          <t>69184</t>
        </is>
      </c>
      <c r="M119" t="inlineStr">
        <is>
          <t>81 637</t>
        </is>
      </c>
    </row>
    <row r="120">
      <c r="A120" t="inlineStr">
        <is>
          <t>T05-250303-082912</t>
        </is>
      </c>
      <c r="B120" t="inlineStr">
        <is>
          <t>2025-03-03</t>
        </is>
      </c>
      <c r="C120" t="inlineStr">
        <is>
          <t>08:38</t>
        </is>
      </c>
      <c r="D120" t="inlineStr">
        <is>
          <t>Magasin 5 — Kaya Marché</t>
        </is>
      </c>
      <c r="E120" t="inlineStr">
        <is>
          <t>Salamatu Sankara</t>
        </is>
      </c>
      <c r="F120" t="inlineStr">
        <is>
          <t>16351</t>
        </is>
      </c>
      <c r="G120" t="inlineStr">
        <is>
          <t>Panneau solaire 100 W — réf 2</t>
        </is>
      </c>
      <c r="H120" t="inlineStr">
        <is>
          <t>Electricité</t>
        </is>
      </c>
      <c r="I120" t="inlineStr">
        <is>
          <t>1</t>
        </is>
      </c>
      <c r="J120" t="inlineStr">
        <is>
          <t>15575</t>
        </is>
      </c>
      <c r="K120" t="inlineStr">
        <is>
          <t>0.03</t>
        </is>
      </c>
      <c r="L120" t="inlineStr">
        <is>
          <t>15108</t>
        </is>
      </c>
      <c r="M120" t="inlineStr">
        <is>
          <t>17 827</t>
        </is>
      </c>
    </row>
    <row r="121">
      <c r="A121" t="inlineStr">
        <is>
          <t>T05-250303-082912</t>
        </is>
      </c>
      <c r="B121" t="inlineStr">
        <is>
          <t>2025-03-03</t>
        </is>
      </c>
      <c r="C121" t="inlineStr">
        <is>
          <t>08:47</t>
        </is>
      </c>
      <c r="D121" t="inlineStr">
        <is>
          <t>Magasin 5 — Kaya Marché</t>
        </is>
      </c>
      <c r="E121" t="inlineStr">
        <is>
          <t>Salamatu Sankara</t>
        </is>
      </c>
      <c r="F121" t="inlineStr">
        <is>
          <t>9672</t>
        </is>
      </c>
      <c r="G121" t="inlineStr">
        <is>
          <t>Tournevis cruciforme PH2 — réf 1</t>
        </is>
      </c>
      <c r="H121" t="inlineStr">
        <is>
          <t>Quincaillerie</t>
        </is>
      </c>
      <c r="I121" t="inlineStr">
        <is>
          <t>13</t>
        </is>
      </c>
      <c r="J121" t="inlineStr">
        <is>
          <t>7900</t>
        </is>
      </c>
      <c r="K121" t="inlineStr">
        <is>
          <t>0.04</t>
        </is>
      </c>
      <c r="L121" t="inlineStr">
        <is>
          <t>98592</t>
        </is>
      </c>
      <c r="M121" t="inlineStr">
        <is>
          <t>116 339</t>
        </is>
      </c>
    </row>
    <row r="122">
      <c r="A122" t="inlineStr">
        <is>
          <t>T05-250303-082913</t>
        </is>
      </c>
      <c r="B122" t="inlineStr">
        <is>
          <t>2025-03-03</t>
        </is>
      </c>
      <c r="C122" t="inlineStr">
        <is>
          <t>16:01</t>
        </is>
      </c>
      <c r="D122" t="inlineStr">
        <is>
          <t>Magasin 5 — Kaya Marché</t>
        </is>
      </c>
      <c r="E122" t="inlineStr">
        <is>
          <t>Adama Bationo</t>
        </is>
      </c>
      <c r="F122" t="inlineStr">
        <is>
          <t>22643</t>
        </is>
      </c>
      <c r="G122" t="inlineStr">
        <is>
          <t>Robinet mitigeur évier — réf 1</t>
        </is>
      </c>
      <c r="H122" t="inlineStr">
        <is>
          <t>Plomberie</t>
        </is>
      </c>
      <c r="I122" t="inlineStr">
        <is>
          <t>26</t>
        </is>
      </c>
      <c r="J122" t="inlineStr">
        <is>
          <t>33375</t>
        </is>
      </c>
      <c r="K122" t="inlineStr">
        <is>
          <t>0.04</t>
        </is>
      </c>
      <c r="L122" t="inlineStr">
        <is>
          <t>833040</t>
        </is>
      </c>
      <c r="M122" t="inlineStr">
        <is>
          <t>982 987</t>
        </is>
      </c>
    </row>
    <row r="123">
      <c r="A123" t="inlineStr">
        <is>
          <t>T05-250303-082913</t>
        </is>
      </c>
      <c r="B123" t="inlineStr">
        <is>
          <t>2025-03-03</t>
        </is>
      </c>
      <c r="C123" t="inlineStr">
        <is>
          <t>16:03</t>
        </is>
      </c>
      <c r="D123" t="inlineStr">
        <is>
          <t>Magasin 5 — Kaya Marché</t>
        </is>
      </c>
      <c r="E123" t="inlineStr">
        <is>
          <t>Salamatu Sankara</t>
        </is>
      </c>
      <c r="F123" t="inlineStr">
        <is>
          <t>640</t>
        </is>
      </c>
      <c r="G123" t="inlineStr">
        <is>
          <t>Pavé autobloquant — réf 2</t>
        </is>
      </c>
      <c r="H123" t="inlineStr">
        <is>
          <t>Matériaux</t>
        </is>
      </c>
      <c r="I123" t="inlineStr">
        <is>
          <t>2</t>
        </is>
      </c>
      <c r="J123" t="inlineStr">
        <is>
          <t>700</t>
        </is>
      </c>
      <c r="K123" t="inlineStr">
        <is>
          <t>0.0</t>
        </is>
      </c>
      <c r="L123" t="inlineStr">
        <is>
          <t>1400</t>
        </is>
      </c>
      <c r="M123" t="inlineStr">
        <is>
          <t>1 652</t>
        </is>
      </c>
    </row>
    <row r="124">
      <c r="A124" t="inlineStr">
        <is>
          <t>T05-250401-086352</t>
        </is>
      </c>
      <c r="B124" t="inlineStr">
        <is>
          <t>01/04/2025</t>
        </is>
      </c>
      <c r="C124" t="inlineStr">
        <is>
          <t>11:01</t>
        </is>
      </c>
      <c r="D124" t="inlineStr">
        <is>
          <t>Magasin 5 — Kaya Marché</t>
        </is>
      </c>
      <c r="E124" t="inlineStr">
        <is>
          <t>Boureima Ouédraogo</t>
        </is>
      </c>
      <c r="F124" t="inlineStr">
        <is>
          <t>0</t>
        </is>
      </c>
      <c r="G124" t="inlineStr">
        <is>
          <t>Échelle aluminium 4 marches — réf 1</t>
        </is>
      </c>
      <c r="H124" t="inlineStr">
        <is>
          <t>Consommables</t>
        </is>
      </c>
      <c r="I124" t="inlineStr">
        <is>
          <t>3</t>
        </is>
      </c>
      <c r="J124" t="inlineStr">
        <is>
          <t>8650</t>
        </is>
      </c>
      <c r="K124" t="inlineStr">
        <is>
          <t>0.0</t>
        </is>
      </c>
      <c r="L124" t="inlineStr">
        <is>
          <t>25950</t>
        </is>
      </c>
      <c r="M124" t="inlineStr">
        <is>
          <t>30 621</t>
        </is>
      </c>
    </row>
    <row r="125">
      <c r="A125" t="inlineStr">
        <is>
          <t>T05-250401-086353</t>
        </is>
      </c>
      <c r="B125" t="inlineStr">
        <is>
          <t>2025-04-01</t>
        </is>
      </c>
      <c r="C125" t="inlineStr">
        <is>
          <t>12:45</t>
        </is>
      </c>
      <c r="D125" t="inlineStr">
        <is>
          <t>Magasin 5 — Kaya Marché</t>
        </is>
      </c>
      <c r="E125" t="inlineStr">
        <is>
          <t>Moussa Ilboudo</t>
        </is>
      </c>
      <c r="F125" t="inlineStr">
        <is>
          <t>13771</t>
        </is>
      </c>
      <c r="G125" t="inlineStr">
        <is>
          <t>Plaque de plâtre 13 mm — réf 2</t>
        </is>
      </c>
      <c r="H125" t="inlineStr">
        <is>
          <t>Bois &amp; panneaux</t>
        </is>
      </c>
      <c r="I125" t="inlineStr">
        <is>
          <t>4</t>
        </is>
      </c>
      <c r="J125" t="inlineStr">
        <is>
          <t>13900</t>
        </is>
      </c>
      <c r="K125" t="inlineStr">
        <is>
          <t>0.04</t>
        </is>
      </c>
      <c r="L125" t="inlineStr">
        <is>
          <t>53376</t>
        </is>
      </c>
      <c r="M125" t="inlineStr">
        <is>
          <t>62 984</t>
        </is>
      </c>
    </row>
    <row r="126">
      <c r="A126" t="inlineStr">
        <is>
          <t>T05-250401-086353</t>
        </is>
      </c>
      <c r="B126" t="inlineStr">
        <is>
          <t>2025-04-01</t>
        </is>
      </c>
      <c r="C126" t="inlineStr">
        <is>
          <t>12:45</t>
        </is>
      </c>
      <c r="D126" t="inlineStr">
        <is>
          <t>Magasin 5 — Kaya Marché</t>
        </is>
      </c>
      <c r="E126" t="inlineStr">
        <is>
          <t>Moussa Ilboudo</t>
        </is>
      </c>
      <c r="F126" t="inlineStr">
        <is>
          <t>13771</t>
        </is>
      </c>
      <c r="G126" t="inlineStr">
        <is>
          <t>Plaque de plâtre 13 mm — réf 2</t>
        </is>
      </c>
      <c r="H126" t="inlineStr">
        <is>
          <t>Bois &amp; panneaux</t>
        </is>
      </c>
      <c r="I126" t="inlineStr">
        <is>
          <t>4</t>
        </is>
      </c>
      <c r="J126" t="inlineStr">
        <is>
          <t>13900</t>
        </is>
      </c>
      <c r="K126" t="inlineStr">
        <is>
          <t>0.04</t>
        </is>
      </c>
      <c r="L126" t="inlineStr">
        <is>
          <t>53376</t>
        </is>
      </c>
      <c r="M126" t="inlineStr">
        <is>
          <t>62 984</t>
        </is>
      </c>
    </row>
    <row r="127">
      <c r="A127" t="inlineStr">
        <is>
          <t>T05-250401-086354</t>
        </is>
      </c>
      <c r="B127" t="inlineStr">
        <is>
          <t>2025-04-01</t>
        </is>
      </c>
      <c r="C127" t="inlineStr">
        <is>
          <t>12:37</t>
        </is>
      </c>
      <c r="D127" t="inlineStr">
        <is>
          <t>Magasin 5 — Kaya Marché</t>
        </is>
      </c>
      <c r="E127" t="inlineStr">
        <is>
          <t>Moussa Ilboudo</t>
        </is>
      </c>
      <c r="F127" t="inlineStr">
        <is>
          <t>19670</t>
        </is>
      </c>
      <c r="G127" t="inlineStr">
        <is>
          <t>Écrou hexagonal 10 (sachet) — réf 2</t>
        </is>
      </c>
      <c r="H127" t="inlineStr">
        <is>
          <t>Quincaillerie</t>
        </is>
      </c>
      <c r="I127" t="inlineStr">
        <is>
          <t>3</t>
        </is>
      </c>
      <c r="J127" t="inlineStr">
        <is>
          <t>2200</t>
        </is>
      </c>
      <c r="K127" t="inlineStr">
        <is>
          <t>0.04</t>
        </is>
      </c>
      <c r="L127" t="inlineStr">
        <is>
          <t>6336</t>
        </is>
      </c>
      <c r="M127" t="inlineStr">
        <is>
          <t>7 476</t>
        </is>
      </c>
    </row>
    <row r="128">
      <c r="A128" t="inlineStr">
        <is>
          <t>T05-250401-086355</t>
        </is>
      </c>
      <c r="B128" t="inlineStr">
        <is>
          <t>2025-04-01</t>
        </is>
      </c>
      <c r="C128" t="inlineStr">
        <is>
          <t>08:45</t>
        </is>
      </c>
      <c r="D128" t="inlineStr">
        <is>
          <t>Magasin 5 — Kaya Marché</t>
        </is>
      </c>
      <c r="E128" t="inlineStr">
        <is>
          <t>Boureima Ouédraogo</t>
        </is>
      </c>
      <c r="F128" t="inlineStr">
        <is>
          <t>12205</t>
        </is>
      </c>
      <c r="G128" t="inlineStr">
        <is>
          <t>WC complet avec abattant — réf 2</t>
        </is>
      </c>
      <c r="H128" t="inlineStr">
        <is>
          <t>Plomberie</t>
        </is>
      </c>
      <c r="I128" t="inlineStr">
        <is>
          <t>4</t>
        </is>
      </c>
      <c r="J128" t="inlineStr">
        <is>
          <t>31850</t>
        </is>
      </c>
      <c r="K128" t="inlineStr">
        <is>
          <t>0.0</t>
        </is>
      </c>
      <c r="L128" t="inlineStr">
        <is>
          <t>127400</t>
        </is>
      </c>
      <c r="M128" t="inlineStr">
        <is>
          <t>150 332</t>
        </is>
      </c>
    </row>
    <row r="129">
      <c r="A129" t="inlineStr">
        <is>
          <t>T05-250401-086356</t>
        </is>
      </c>
      <c r="B129" t="inlineStr">
        <is>
          <t>2025-04-01</t>
        </is>
      </c>
      <c r="C129" t="inlineStr">
        <is>
          <t>17:02</t>
        </is>
      </c>
      <c r="D129" t="inlineStr">
        <is>
          <t>Magasin 5 — Kaya Marché</t>
        </is>
      </c>
      <c r="E129" t="inlineStr">
        <is>
          <t>Moussa Ilboudo</t>
        </is>
      </c>
      <c r="F129" t="inlineStr">
        <is>
          <t>6969</t>
        </is>
      </c>
      <c r="G129" t="inlineStr">
        <is>
          <t>Ciment CPJ35 50 kg — réf 2</t>
        </is>
      </c>
      <c r="H129" t="inlineStr">
        <is>
          <t>Matériaux</t>
        </is>
      </c>
      <c r="I129" t="inlineStr">
        <is>
          <t>39</t>
        </is>
      </c>
      <c r="J129" t="inlineStr">
        <is>
          <t>4100</t>
        </is>
      </c>
      <c r="K129" t="inlineStr">
        <is>
          <t>0.0</t>
        </is>
      </c>
      <c r="L129" t="inlineStr">
        <is>
          <t>159900</t>
        </is>
      </c>
      <c r="M129" t="inlineStr">
        <is>
          <t>188 682</t>
        </is>
      </c>
    </row>
    <row r="130">
      <c r="A130" t="inlineStr">
        <is>
          <t>T05-250401-086357</t>
        </is>
      </c>
      <c r="B130" t="inlineStr">
        <is>
          <t>2025-04-01</t>
        </is>
      </c>
      <c r="C130" t="inlineStr">
        <is>
          <t>13:18</t>
        </is>
      </c>
      <c r="D130" t="inlineStr">
        <is>
          <t>Magasin 5 — Kaya Marché</t>
        </is>
      </c>
      <c r="E130" t="inlineStr">
        <is>
          <t>Adama Bationo</t>
        </is>
      </c>
      <c r="F130" t="inlineStr">
        <is>
          <t>22824</t>
        </is>
      </c>
      <c r="G130" t="inlineStr">
        <is>
          <t>Chasse d'eau 6 L — réf 1</t>
        </is>
      </c>
      <c r="H130" t="inlineStr">
        <is>
          <t>Plomberie</t>
        </is>
      </c>
      <c r="I130" t="inlineStr">
        <is>
          <t>-5</t>
        </is>
      </c>
      <c r="J130" t="inlineStr">
        <is>
          <t>26625</t>
        </is>
      </c>
      <c r="K130" t="inlineStr">
        <is>
          <t>0.04</t>
        </is>
      </c>
      <c r="L130" t="inlineStr">
        <is>
          <t>-127800</t>
        </is>
      </c>
      <c r="M130" t="inlineStr">
        <is>
          <t>-150 804</t>
        </is>
      </c>
    </row>
    <row r="131">
      <c r="A131" t="inlineStr">
        <is>
          <t>T05-250401-086358</t>
        </is>
      </c>
      <c r="B131" t="inlineStr">
        <is>
          <t>2025-04-01</t>
        </is>
      </c>
      <c r="C131" t="inlineStr">
        <is>
          <t>17:48</t>
        </is>
      </c>
      <c r="D131" t="inlineStr">
        <is>
          <t>Magasin 5 — Kaya Marché</t>
        </is>
      </c>
      <c r="E131" t="inlineStr">
        <is>
          <t>Boureima Ouédraogo</t>
        </is>
      </c>
      <c r="F131" t="inlineStr"/>
      <c r="G131" t="inlineStr">
        <is>
          <t>Tube PER 16x2 (rouleau) — réf 2</t>
        </is>
      </c>
      <c r="H131" t="inlineStr">
        <is>
          <t>Plomberie</t>
        </is>
      </c>
      <c r="I131" t="inlineStr">
        <is>
          <t>3</t>
        </is>
      </c>
      <c r="J131" t="inlineStr">
        <is>
          <t>3300</t>
        </is>
      </c>
      <c r="K131" t="inlineStr">
        <is>
          <t>0.0</t>
        </is>
      </c>
      <c r="L131" t="inlineStr">
        <is>
          <t>9900</t>
        </is>
      </c>
      <c r="M131" t="inlineStr">
        <is>
          <t>11 682</t>
        </is>
      </c>
    </row>
    <row r="132">
      <c r="A132" t="inlineStr">
        <is>
          <t>T05-250401-086359</t>
        </is>
      </c>
      <c r="B132" t="inlineStr">
        <is>
          <t>01/04/2025</t>
        </is>
      </c>
      <c r="C132" t="inlineStr">
        <is>
          <t>18:04</t>
        </is>
      </c>
      <c r="D132" t="inlineStr">
        <is>
          <t>Magasin 5 — Kaya Marché</t>
        </is>
      </c>
      <c r="E132" t="inlineStr">
        <is>
          <t>Adama Bationo</t>
        </is>
      </c>
      <c r="F132" t="inlineStr">
        <is>
          <t>0</t>
        </is>
      </c>
      <c r="G132" t="inlineStr">
        <is>
          <t>Tube PVC évacuation 100 mm (ml) — réf 1</t>
        </is>
      </c>
      <c r="H132" t="inlineStr">
        <is>
          <t>Plomberie</t>
        </is>
      </c>
      <c r="I132" t="inlineStr">
        <is>
          <t>2</t>
        </is>
      </c>
      <c r="J132" t="inlineStr">
        <is>
          <t>3475</t>
        </is>
      </c>
      <c r="K132" t="inlineStr">
        <is>
          <t>0.0</t>
        </is>
      </c>
      <c r="L132" t="inlineStr">
        <is>
          <t>6950</t>
        </is>
      </c>
      <c r="M132" t="inlineStr">
        <is>
          <t>8 201</t>
        </is>
      </c>
    </row>
    <row r="133">
      <c r="A133" t="inlineStr">
        <is>
          <t>T05-250401-086360</t>
        </is>
      </c>
      <c r="B133" t="inlineStr">
        <is>
          <t>2025-04-01</t>
        </is>
      </c>
      <c r="C133" t="inlineStr">
        <is>
          <t>08:47</t>
        </is>
      </c>
      <c r="D133" t="inlineStr">
        <is>
          <t>Magasin 5 — Kaya Marché</t>
        </is>
      </c>
      <c r="E133" t="inlineStr">
        <is>
          <t>Salamatu Sankara</t>
        </is>
      </c>
      <c r="F133" t="inlineStr">
        <is>
          <t>20670</t>
        </is>
      </c>
      <c r="G133" t="inlineStr">
        <is>
          <t>Enduit de rebouchage 5 kg — réf 1</t>
        </is>
      </c>
      <c r="H133" t="inlineStr">
        <is>
          <t>Peinture</t>
        </is>
      </c>
      <c r="I133" t="inlineStr">
        <is>
          <t>11</t>
        </is>
      </c>
      <c r="J133" t="inlineStr">
        <is>
          <t>4225</t>
        </is>
      </c>
      <c r="K133" t="inlineStr">
        <is>
          <t>0.0</t>
        </is>
      </c>
      <c r="L133" t="inlineStr">
        <is>
          <t>46475</t>
        </is>
      </c>
      <c r="M133" t="inlineStr">
        <is>
          <t>54 841</t>
        </is>
      </c>
    </row>
    <row r="134">
      <c r="A134" t="inlineStr">
        <is>
          <t>T05-250401-086361</t>
        </is>
      </c>
      <c r="B134" t="inlineStr">
        <is>
          <t>2025-04-01</t>
        </is>
      </c>
      <c r="C134" t="inlineStr">
        <is>
          <t>10:42</t>
        </is>
      </c>
      <c r="D134" t="inlineStr">
        <is>
          <t>Magasin 5 — Kaya Marché</t>
        </is>
      </c>
      <c r="E134" t="inlineStr">
        <is>
          <t>Adama Bationo</t>
        </is>
      </c>
      <c r="F134" t="inlineStr"/>
      <c r="G134" t="inlineStr">
        <is>
          <t>Coude PVC 90° 100 — réf 1</t>
        </is>
      </c>
      <c r="H134" t="inlineStr">
        <is>
          <t>Plomberie</t>
        </is>
      </c>
      <c r="I134" t="inlineStr">
        <is>
          <t>3</t>
        </is>
      </c>
      <c r="J134" t="inlineStr">
        <is>
          <t>4075</t>
        </is>
      </c>
      <c r="K134" t="inlineStr">
        <is>
          <t>0.0</t>
        </is>
      </c>
      <c r="L134" t="inlineStr">
        <is>
          <t>12225</t>
        </is>
      </c>
      <c r="M134" t="inlineStr">
        <is>
          <t>14 425</t>
        </is>
      </c>
    </row>
    <row r="135">
      <c r="A135" t="inlineStr">
        <is>
          <t>T05-250401-086362</t>
        </is>
      </c>
      <c r="B135" t="inlineStr">
        <is>
          <t>2025-04-01</t>
        </is>
      </c>
      <c r="C135" t="inlineStr">
        <is>
          <t>16:34</t>
        </is>
      </c>
      <c r="D135" t="inlineStr">
        <is>
          <t>Magasin 5 — Kaya Marché</t>
        </is>
      </c>
      <c r="E135" t="inlineStr">
        <is>
          <t>Boureima Ouédraogo</t>
        </is>
      </c>
      <c r="F135" t="inlineStr">
        <is>
          <t>2446</t>
        </is>
      </c>
      <c r="G135" t="inlineStr">
        <is>
          <t>Peinture glycéro 1 L — réf 1</t>
        </is>
      </c>
      <c r="H135" t="inlineStr">
        <is>
          <t>Peinture</t>
        </is>
      </c>
      <c r="I135" t="inlineStr">
        <is>
          <t>12</t>
        </is>
      </c>
      <c r="J135" t="inlineStr">
        <is>
          <t>3250</t>
        </is>
      </c>
      <c r="K135" t="inlineStr">
        <is>
          <t>0.0</t>
        </is>
      </c>
      <c r="L135" t="inlineStr">
        <is>
          <t>39000</t>
        </is>
      </c>
      <c r="M135" t="inlineStr">
        <is>
          <t>46 020</t>
        </is>
      </c>
    </row>
    <row r="136">
      <c r="A136" t="inlineStr">
        <is>
          <t>T05-250401-086363</t>
        </is>
      </c>
      <c r="B136" t="inlineStr">
        <is>
          <t>2025-04-01</t>
        </is>
      </c>
      <c r="C136" t="inlineStr">
        <is>
          <t>15:34</t>
        </is>
      </c>
      <c r="D136" t="inlineStr">
        <is>
          <t>Magasin 5 — Kaya Marché</t>
        </is>
      </c>
      <c r="E136" t="inlineStr">
        <is>
          <t>Moussa Ilboudo</t>
        </is>
      </c>
      <c r="F136" t="inlineStr">
        <is>
          <t>12082</t>
        </is>
      </c>
      <c r="G136" t="inlineStr">
        <is>
          <t>Sac de transport 100 kg — réf 1</t>
        </is>
      </c>
      <c r="H136" t="inlineStr">
        <is>
          <t>Consommables</t>
        </is>
      </c>
      <c r="I136" t="inlineStr">
        <is>
          <t>2</t>
        </is>
      </c>
      <c r="J136" t="inlineStr">
        <is>
          <t>8650</t>
        </is>
      </c>
      <c r="K136" t="inlineStr">
        <is>
          <t>0.04</t>
        </is>
      </c>
      <c r="L136" t="inlineStr">
        <is>
          <t>16608</t>
        </is>
      </c>
      <c r="M136" t="inlineStr">
        <is>
          <t>19 597</t>
        </is>
      </c>
    </row>
    <row r="137">
      <c r="A137" t="inlineStr">
        <is>
          <t>T05-250401-086364</t>
        </is>
      </c>
      <c r="B137" t="inlineStr">
        <is>
          <t>2025-04-01</t>
        </is>
      </c>
      <c r="C137" t="inlineStr">
        <is>
          <t>11:16</t>
        </is>
      </c>
      <c r="D137" t="inlineStr">
        <is>
          <t>Magasin 5 — Kaya Marché</t>
        </is>
      </c>
      <c r="E137" t="inlineStr">
        <is>
          <t>Salamatu Sankara</t>
        </is>
      </c>
      <c r="F137" t="inlineStr">
        <is>
          <t>367</t>
        </is>
      </c>
      <c r="G137" t="inlineStr">
        <is>
          <t>Hourdis creux 12 — réf 2</t>
        </is>
      </c>
      <c r="H137" t="inlineStr">
        <is>
          <t>Matériaux</t>
        </is>
      </c>
      <c r="I137" t="inlineStr">
        <is>
          <t>4</t>
        </is>
      </c>
      <c r="J137" t="inlineStr">
        <is>
          <t>1500</t>
        </is>
      </c>
      <c r="K137" t="inlineStr">
        <is>
          <t>0.04</t>
        </is>
      </c>
      <c r="L137" t="inlineStr">
        <is>
          <t>5760</t>
        </is>
      </c>
      <c r="M137" t="inlineStr">
        <is>
          <t>6 797</t>
        </is>
      </c>
    </row>
    <row r="138">
      <c r="A138" t="inlineStr">
        <is>
          <t>T05-250401-086365</t>
        </is>
      </c>
      <c r="B138" t="inlineStr">
        <is>
          <t>2025-04-01</t>
        </is>
      </c>
      <c r="C138" t="inlineStr">
        <is>
          <t>15:20</t>
        </is>
      </c>
      <c r="D138" t="inlineStr">
        <is>
          <t>Magasin 5 — Kaya Marché</t>
        </is>
      </c>
      <c r="E138" t="inlineStr">
        <is>
          <t>Adama Bationo</t>
        </is>
      </c>
      <c r="F138" t="inlineStr">
        <is>
          <t>0</t>
        </is>
      </c>
      <c r="G138" t="inlineStr">
        <is>
          <t>Gravier 15/25 (m3) — réf 1</t>
        </is>
      </c>
      <c r="H138" t="inlineStr">
        <is>
          <t>Matériaux</t>
        </is>
      </c>
      <c r="I138" t="inlineStr">
        <is>
          <t>5000</t>
        </is>
      </c>
      <c r="J138" t="inlineStr">
        <is>
          <t>30550</t>
        </is>
      </c>
      <c r="K138" t="inlineStr">
        <is>
          <t>0.0</t>
        </is>
      </c>
      <c r="L138" t="inlineStr">
        <is>
          <t>152750</t>
        </is>
      </c>
      <c r="M138" t="inlineStr">
        <is>
          <t>180 245</t>
        </is>
      </c>
    </row>
    <row r="139">
      <c r="A139" t="inlineStr">
        <is>
          <t>T05-250401-086366</t>
        </is>
      </c>
      <c r="B139" t="inlineStr">
        <is>
          <t>2025-04-01</t>
        </is>
      </c>
      <c r="C139" t="inlineStr">
        <is>
          <t>10:34</t>
        </is>
      </c>
      <c r="D139" t="inlineStr">
        <is>
          <t>Magasin 5 — Kaya Marché</t>
        </is>
      </c>
      <c r="E139" t="inlineStr">
        <is>
          <t>Adama Bationo</t>
        </is>
      </c>
      <c r="F139" t="inlineStr">
        <is>
          <t>2661</t>
        </is>
      </c>
      <c r="G139" t="inlineStr">
        <is>
          <t>Douche de toilettes — réf 2</t>
        </is>
      </c>
      <c r="H139" t="inlineStr">
        <is>
          <t>Plomberie</t>
        </is>
      </c>
      <c r="I139" t="inlineStr">
        <is>
          <t>13</t>
        </is>
      </c>
      <c r="J139" t="inlineStr">
        <is>
          <t>30850</t>
        </is>
      </c>
      <c r="K139" t="inlineStr">
        <is>
          <t>0.0</t>
        </is>
      </c>
      <c r="L139" t="inlineStr">
        <is>
          <t>401050</t>
        </is>
      </c>
      <c r="M139" t="inlineStr">
        <is>
          <t>473 239</t>
        </is>
      </c>
    </row>
    <row r="140">
      <c r="A140" t="inlineStr">
        <is>
          <t>T05-250401-086367</t>
        </is>
      </c>
      <c r="B140" t="inlineStr">
        <is>
          <t>2025-04-01</t>
        </is>
      </c>
      <c r="C140" t="inlineStr">
        <is>
          <t>12:11</t>
        </is>
      </c>
      <c r="D140" t="inlineStr">
        <is>
          <t>Magasin 5 — Kaya Marché</t>
        </is>
      </c>
      <c r="E140" t="inlineStr">
        <is>
          <t>Boureima Ouédraogo</t>
        </is>
      </c>
      <c r="F140" t="inlineStr">
        <is>
          <t>12489</t>
        </is>
      </c>
      <c r="G140" t="inlineStr">
        <is>
          <t>Pavé autobloquant — réf 1</t>
        </is>
      </c>
      <c r="H140" t="inlineStr">
        <is>
          <t>Matériaux</t>
        </is>
      </c>
      <c r="I140" t="inlineStr">
        <is>
          <t>1000</t>
        </is>
      </c>
      <c r="J140" t="inlineStr">
        <is>
          <t>1125</t>
        </is>
      </c>
      <c r="K140" t="inlineStr">
        <is>
          <t>0.0</t>
        </is>
      </c>
      <c r="L140" t="inlineStr">
        <is>
          <t>1125</t>
        </is>
      </c>
      <c r="M140" t="inlineStr">
        <is>
          <t>1 327</t>
        </is>
      </c>
    </row>
    <row r="141">
      <c r="A141" t="inlineStr">
        <is>
          <t>T05-250401-086368</t>
        </is>
      </c>
      <c r="B141" t="inlineStr">
        <is>
          <t>2025-04-01</t>
        </is>
      </c>
      <c r="C141" t="inlineStr">
        <is>
          <t>10:06</t>
        </is>
      </c>
      <c r="D141" t="inlineStr">
        <is>
          <t>Magasin 5 — Kaya Marché</t>
        </is>
      </c>
      <c r="E141" t="inlineStr">
        <is>
          <t>Boureima Ouédraogo</t>
        </is>
      </c>
      <c r="F141" t="inlineStr">
        <is>
          <t>9106</t>
        </is>
      </c>
      <c r="G141" t="inlineStr">
        <is>
          <t>Tout-venant (m3) — réf 2</t>
        </is>
      </c>
      <c r="H141" t="inlineStr">
        <is>
          <t>Matériaux</t>
        </is>
      </c>
      <c r="I141" t="inlineStr">
        <is>
          <t>5</t>
        </is>
      </c>
      <c r="J141" t="inlineStr">
        <is>
          <t>23400</t>
        </is>
      </c>
      <c r="K141" t="inlineStr">
        <is>
          <t>0.0</t>
        </is>
      </c>
      <c r="L141" t="inlineStr">
        <is>
          <t>117000</t>
        </is>
      </c>
      <c r="M141" t="inlineStr">
        <is>
          <t>138 060</t>
        </is>
      </c>
    </row>
    <row r="142">
      <c r="A142" t="inlineStr">
        <is>
          <t>T05-250401-086369</t>
        </is>
      </c>
      <c r="B142" t="inlineStr">
        <is>
          <t>2025-04-01</t>
        </is>
      </c>
      <c r="C142" t="inlineStr">
        <is>
          <t>12:57</t>
        </is>
      </c>
      <c r="D142" t="inlineStr">
        <is>
          <t>Magasin 5 — Kaya Marché</t>
        </is>
      </c>
      <c r="E142" t="inlineStr">
        <is>
          <t>Boureima Ouédraogo</t>
        </is>
      </c>
      <c r="F142" t="inlineStr">
        <is>
          <t>21755</t>
        </is>
      </c>
      <c r="G142" t="inlineStr">
        <is>
          <t>Perforateur 800 W — réf 1</t>
        </is>
      </c>
      <c r="H142" t="inlineStr">
        <is>
          <t>Quincaillerie</t>
        </is>
      </c>
      <c r="I142" t="inlineStr">
        <is>
          <t>2</t>
        </is>
      </c>
      <c r="J142" t="inlineStr">
        <is>
          <t>8000</t>
        </is>
      </c>
      <c r="K142" t="inlineStr">
        <is>
          <t>0.08</t>
        </is>
      </c>
      <c r="L142" t="inlineStr">
        <is>
          <t>14720</t>
        </is>
      </c>
      <c r="M142" t="inlineStr">
        <is>
          <t>17 370</t>
        </is>
      </c>
    </row>
    <row r="143">
      <c r="A143" t="inlineStr">
        <is>
          <t>T05-250401-086370</t>
        </is>
      </c>
      <c r="B143" t="inlineStr">
        <is>
          <t>2025-04-01</t>
        </is>
      </c>
      <c r="C143" t="inlineStr">
        <is>
          <t>13:30</t>
        </is>
      </c>
      <c r="D143" t="inlineStr">
        <is>
          <t>Magasin 5 — Kaya Marché</t>
        </is>
      </c>
      <c r="E143" t="inlineStr">
        <is>
          <t>Moussa Ilboudo</t>
        </is>
      </c>
      <c r="F143" t="inlineStr">
        <is>
          <t>0</t>
        </is>
      </c>
      <c r="G143" t="inlineStr">
        <is>
          <t>Perforateur 800 W — réf 2</t>
        </is>
      </c>
      <c r="H143" t="inlineStr">
        <is>
          <t>Quincaillerie</t>
        </is>
      </c>
      <c r="I143" t="inlineStr">
        <is>
          <t>2</t>
        </is>
      </c>
      <c r="J143" t="inlineStr">
        <is>
          <t>5800</t>
        </is>
      </c>
      <c r="K143" t="inlineStr">
        <is>
          <t>0.0</t>
        </is>
      </c>
      <c r="L143" t="inlineStr">
        <is>
          <t>11600</t>
        </is>
      </c>
      <c r="M143" t="inlineStr">
        <is>
          <t>13 688</t>
        </is>
      </c>
    </row>
    <row r="144">
      <c r="A144" t="inlineStr">
        <is>
          <t>T05-250401-086371</t>
        </is>
      </c>
      <c r="B144" t="inlineStr">
        <is>
          <t>2025-04-01</t>
        </is>
      </c>
      <c r="C144" t="inlineStr">
        <is>
          <t>17:32</t>
        </is>
      </c>
      <c r="D144" t="inlineStr">
        <is>
          <t>Magasin 5 — Kaya Marché</t>
        </is>
      </c>
      <c r="E144" t="inlineStr">
        <is>
          <t>Adama Bationo</t>
        </is>
      </c>
      <c r="F144" t="inlineStr">
        <is>
          <t>3959</t>
        </is>
      </c>
      <c r="G144" t="inlineStr">
        <is>
          <t>Passe-câble étanche — réf 1</t>
        </is>
      </c>
      <c r="H144" t="inlineStr">
        <is>
          <t>Electricité</t>
        </is>
      </c>
      <c r="I144" t="inlineStr">
        <is>
          <t>2</t>
        </is>
      </c>
      <c r="J144" t="inlineStr">
        <is>
          <t>16775</t>
        </is>
      </c>
      <c r="K144" t="inlineStr">
        <is>
          <t>0.0</t>
        </is>
      </c>
      <c r="L144" t="inlineStr">
        <is>
          <t>33550</t>
        </is>
      </c>
      <c r="M144" t="inlineStr">
        <is>
          <t>39 589</t>
        </is>
      </c>
    </row>
    <row r="145">
      <c r="A145" t="inlineStr">
        <is>
          <t>T05-250401-086372</t>
        </is>
      </c>
      <c r="B145" t="inlineStr">
        <is>
          <t>2025-04-01</t>
        </is>
      </c>
      <c r="C145" t="inlineStr">
        <is>
          <t>16:07</t>
        </is>
      </c>
      <c r="D145" t="inlineStr">
        <is>
          <t>Magasin 5 — Kaya Marché</t>
        </is>
      </c>
      <c r="E145" t="inlineStr">
        <is>
          <t>Adama Bationo</t>
        </is>
      </c>
      <c r="F145" t="inlineStr">
        <is>
          <t>18885</t>
        </is>
      </c>
      <c r="G145" t="inlineStr">
        <is>
          <t>Sable de rivière (m3) — réf 1</t>
        </is>
      </c>
      <c r="H145" t="inlineStr">
        <is>
          <t>Matériaux</t>
        </is>
      </c>
      <c r="I145" t="inlineStr">
        <is>
          <t>4</t>
        </is>
      </c>
      <c r="J145" t="inlineStr">
        <is>
          <t>25975</t>
        </is>
      </c>
      <c r="K145" t="inlineStr">
        <is>
          <t>0.0</t>
        </is>
      </c>
      <c r="L145" t="inlineStr">
        <is>
          <t>103900</t>
        </is>
      </c>
      <c r="M145" t="inlineStr">
        <is>
          <t>122 602</t>
        </is>
      </c>
    </row>
    <row r="146">
      <c r="A146" t="inlineStr">
        <is>
          <t>T05-250401-086373</t>
        </is>
      </c>
      <c r="B146" t="inlineStr">
        <is>
          <t>2025-04-01</t>
        </is>
      </c>
      <c r="C146" t="inlineStr">
        <is>
          <t>17:07</t>
        </is>
      </c>
      <c r="D146" t="inlineStr">
        <is>
          <t>Magasin 5 — Kaya Marché</t>
        </is>
      </c>
      <c r="E146" t="inlineStr">
        <is>
          <t>Adama Bationo</t>
        </is>
      </c>
      <c r="F146" t="inlineStr">
        <is>
          <t>22027</t>
        </is>
      </c>
      <c r="G146" t="inlineStr">
        <is>
          <t>Cheville nylon 8 mm (sachet) — réf 2</t>
        </is>
      </c>
      <c r="H146" t="inlineStr">
        <is>
          <t>Quincaillerie</t>
        </is>
      </c>
      <c r="I146" t="inlineStr">
        <is>
          <t>11</t>
        </is>
      </c>
      <c r="J146" t="inlineStr">
        <is>
          <t>2175</t>
        </is>
      </c>
      <c r="K146" t="inlineStr">
        <is>
          <t>0.04</t>
        </is>
      </c>
      <c r="L146" t="inlineStr">
        <is>
          <t>22968</t>
        </is>
      </c>
      <c r="M146" t="inlineStr">
        <is>
          <t>27 102</t>
        </is>
      </c>
    </row>
    <row r="147">
      <c r="A147" t="inlineStr">
        <is>
          <t>T05-250401-086374</t>
        </is>
      </c>
      <c r="B147" t="inlineStr">
        <is>
          <t>2025-04-01</t>
        </is>
      </c>
      <c r="C147" t="inlineStr">
        <is>
          <t>11:48</t>
        </is>
      </c>
      <c r="D147" t="inlineStr">
        <is>
          <t>Magasin 5 — Kaya Marché</t>
        </is>
      </c>
      <c r="E147" t="inlineStr">
        <is>
          <t>Salamatu Sankara</t>
        </is>
      </c>
      <c r="F147" t="inlineStr"/>
      <c r="G147" t="inlineStr">
        <is>
          <t>Cheville nylon 8 mm (sachet) — réf 2</t>
        </is>
      </c>
      <c r="H147" t="inlineStr">
        <is>
          <t>Quincaillerie</t>
        </is>
      </c>
      <c r="I147" t="inlineStr">
        <is>
          <t>5</t>
        </is>
      </c>
      <c r="J147" t="inlineStr">
        <is>
          <t>2150</t>
        </is>
      </c>
      <c r="K147" t="inlineStr">
        <is>
          <t>0.0</t>
        </is>
      </c>
      <c r="L147" t="inlineStr">
        <is>
          <t>10750</t>
        </is>
      </c>
      <c r="M147" t="inlineStr">
        <is>
          <t>12 685</t>
        </is>
      </c>
    </row>
    <row r="148">
      <c r="A148" t="inlineStr">
        <is>
          <t>T05-250401-086375</t>
        </is>
      </c>
      <c r="B148" t="inlineStr">
        <is>
          <t>2025-04-01</t>
        </is>
      </c>
      <c r="C148" t="inlineStr">
        <is>
          <t>15:23</t>
        </is>
      </c>
      <c r="D148" t="inlineStr">
        <is>
          <t>Magasin 5 — Kaya Marché</t>
        </is>
      </c>
      <c r="E148" t="inlineStr">
        <is>
          <t>Moussa Ilboudo</t>
        </is>
      </c>
      <c r="F148" t="inlineStr">
        <is>
          <t>5345</t>
        </is>
      </c>
      <c r="G148" t="inlineStr">
        <is>
          <t>Pince coupante 200 mm — réf 1</t>
        </is>
      </c>
      <c r="H148" t="inlineStr">
        <is>
          <t>Quincaillerie</t>
        </is>
      </c>
      <c r="I148" t="inlineStr">
        <is>
          <t>-3</t>
        </is>
      </c>
      <c r="J148" t="inlineStr">
        <is>
          <t>5200</t>
        </is>
      </c>
      <c r="K148" t="inlineStr">
        <is>
          <t>0.0</t>
        </is>
      </c>
      <c r="L148" t="inlineStr">
        <is>
          <t>-15600</t>
        </is>
      </c>
      <c r="M148" t="inlineStr">
        <is>
          <t>-18 408</t>
        </is>
      </c>
    </row>
    <row r="149">
      <c r="A149" t="inlineStr">
        <is>
          <t>T05-250401-086376</t>
        </is>
      </c>
      <c r="B149" t="inlineStr">
        <is>
          <t>01/04/2025</t>
        </is>
      </c>
      <c r="C149" t="inlineStr">
        <is>
          <t>16:39</t>
        </is>
      </c>
      <c r="D149" t="inlineStr">
        <is>
          <t>Magasin 5 — Kaya Marché</t>
        </is>
      </c>
      <c r="E149" t="inlineStr">
        <is>
          <t>Moussa Ilboudo</t>
        </is>
      </c>
      <c r="F149" t="inlineStr">
        <is>
          <t>19650</t>
        </is>
      </c>
      <c r="G149" t="inlineStr">
        <is>
          <t>Bêche à manche bois — réf 2</t>
        </is>
      </c>
      <c r="H149" t="inlineStr">
        <is>
          <t>Consommables</t>
        </is>
      </c>
      <c r="I149" t="inlineStr">
        <is>
          <t>-3</t>
        </is>
      </c>
      <c r="J149" t="inlineStr">
        <is>
          <t>5800</t>
        </is>
      </c>
      <c r="K149" t="inlineStr">
        <is>
          <t>0.04</t>
        </is>
      </c>
      <c r="L149" t="inlineStr">
        <is>
          <t>-16704</t>
        </is>
      </c>
      <c r="M149" t="inlineStr">
        <is>
          <t>-19 711</t>
        </is>
      </c>
    </row>
    <row r="150">
      <c r="A150" t="inlineStr">
        <is>
          <t>T05-250401-086377</t>
        </is>
      </c>
      <c r="B150" t="inlineStr">
        <is>
          <t>2025-04-01</t>
        </is>
      </c>
      <c r="C150" t="inlineStr">
        <is>
          <t>11:37</t>
        </is>
      </c>
      <c r="D150" t="inlineStr">
        <is>
          <t>Magasin 5 — Kaya Marché</t>
        </is>
      </c>
      <c r="E150" t="inlineStr">
        <is>
          <t>Adama Bationo</t>
        </is>
      </c>
      <c r="F150" t="inlineStr">
        <is>
          <t>23136</t>
        </is>
      </c>
      <c r="G150" t="inlineStr">
        <is>
          <t>Tableau 18 modules — réf 1</t>
        </is>
      </c>
      <c r="H150" t="inlineStr">
        <is>
          <t>Electricité</t>
        </is>
      </c>
      <c r="I150" t="inlineStr">
        <is>
          <t>3</t>
        </is>
      </c>
      <c r="J150" t="inlineStr">
        <is>
          <t>8775</t>
        </is>
      </c>
      <c r="K150" t="inlineStr">
        <is>
          <t>0.04</t>
        </is>
      </c>
      <c r="L150" t="inlineStr">
        <is>
          <t>25272</t>
        </is>
      </c>
      <c r="M150" t="inlineStr">
        <is>
          <t>29 821</t>
        </is>
      </c>
    </row>
    <row r="151">
      <c r="A151" t="inlineStr">
        <is>
          <t>T05-250401-086378</t>
        </is>
      </c>
      <c r="B151" t="inlineStr">
        <is>
          <t>2025-04-01</t>
        </is>
      </c>
      <c r="C151" t="inlineStr">
        <is>
          <t>16:36</t>
        </is>
      </c>
      <c r="D151" t="inlineStr">
        <is>
          <t>Magasin 5 — Kaya Marché</t>
        </is>
      </c>
      <c r="E151" t="inlineStr">
        <is>
          <t>Adama Bationo</t>
        </is>
      </c>
      <c r="F151" t="inlineStr">
        <is>
          <t>15288</t>
        </is>
      </c>
      <c r="G151" t="inlineStr">
        <is>
          <t>Scie égoïne 500 mm — réf 1</t>
        </is>
      </c>
      <c r="H151" t="inlineStr">
        <is>
          <t>Quincaillerie</t>
        </is>
      </c>
      <c r="I151" t="inlineStr">
        <is>
          <t>4</t>
        </is>
      </c>
      <c r="J151" t="inlineStr">
        <is>
          <t>10975</t>
        </is>
      </c>
      <c r="K151" t="inlineStr">
        <is>
          <t>0.0</t>
        </is>
      </c>
      <c r="L151" t="inlineStr">
        <is>
          <t>43900</t>
        </is>
      </c>
      <c r="M151" t="inlineStr">
        <is>
          <t>51 802</t>
        </is>
      </c>
    </row>
    <row r="152">
      <c r="A152" t="inlineStr">
        <is>
          <t>T05-250401-086379</t>
        </is>
      </c>
      <c r="B152" t="inlineStr">
        <is>
          <t>2025-04-01</t>
        </is>
      </c>
      <c r="C152" t="inlineStr">
        <is>
          <t>16:47</t>
        </is>
      </c>
      <c r="D152" t="inlineStr">
        <is>
          <t>Magasin 5 — Kaya Marché</t>
        </is>
      </c>
      <c r="E152" t="inlineStr">
        <is>
          <t>Salamatu Sankara</t>
        </is>
      </c>
      <c r="F152" t="inlineStr">
        <is>
          <t>9940</t>
        </is>
      </c>
      <c r="G152" t="inlineStr">
        <is>
          <t>Hourdis creux 12 — réf 2</t>
        </is>
      </c>
      <c r="H152" t="inlineStr">
        <is>
          <t>Matériaux</t>
        </is>
      </c>
      <c r="I152" t="inlineStr">
        <is>
          <t>4</t>
        </is>
      </c>
      <c r="J152" t="inlineStr">
        <is>
          <t>1550</t>
        </is>
      </c>
      <c r="K152" t="inlineStr">
        <is>
          <t>0.0</t>
        </is>
      </c>
      <c r="L152" t="inlineStr">
        <is>
          <t>6200</t>
        </is>
      </c>
      <c r="M152" t="inlineStr">
        <is>
          <t>7 316</t>
        </is>
      </c>
    </row>
    <row r="153">
      <c r="A153" t="inlineStr">
        <is>
          <t>T05-250401-086380</t>
        </is>
      </c>
      <c r="B153" t="inlineStr">
        <is>
          <t>2025-04-01</t>
        </is>
      </c>
      <c r="C153" t="inlineStr">
        <is>
          <t>17:13</t>
        </is>
      </c>
      <c r="D153" t="inlineStr">
        <is>
          <t>Magasin 5 — Kaya Marché</t>
        </is>
      </c>
      <c r="E153" t="inlineStr">
        <is>
          <t>Salamatu Sankara</t>
        </is>
      </c>
      <c r="F153" t="inlineStr">
        <is>
          <t>11981</t>
        </is>
      </c>
      <c r="G153" t="inlineStr">
        <is>
          <t>Tournevis cruciforme PH2 — réf 1</t>
        </is>
      </c>
      <c r="H153" t="inlineStr">
        <is>
          <t>Quincaillerie</t>
        </is>
      </c>
      <c r="I153" t="inlineStr">
        <is>
          <t>10</t>
        </is>
      </c>
      <c r="J153" t="inlineStr">
        <is>
          <t>8200</t>
        </is>
      </c>
      <c r="K153" t="inlineStr">
        <is>
          <t>0.0</t>
        </is>
      </c>
      <c r="L153" t="inlineStr">
        <is>
          <t>82000</t>
        </is>
      </c>
      <c r="M153" t="inlineStr">
        <is>
          <t>96 760</t>
        </is>
      </c>
    </row>
    <row r="154">
      <c r="A154" t="inlineStr">
        <is>
          <t>T05-250402-086501</t>
        </is>
      </c>
      <c r="B154" t="inlineStr">
        <is>
          <t>2025-04-02</t>
        </is>
      </c>
      <c r="C154" t="inlineStr">
        <is>
          <t>08:43</t>
        </is>
      </c>
      <c r="D154" t="inlineStr">
        <is>
          <t>Magasin 5 — Kaya Marché</t>
        </is>
      </c>
      <c r="E154" t="inlineStr">
        <is>
          <t>Adama Bationo</t>
        </is>
      </c>
      <c r="F154" t="inlineStr">
        <is>
          <t>19457</t>
        </is>
      </c>
      <c r="G154" t="inlineStr">
        <is>
          <t>Brouette 90 L — réf 2</t>
        </is>
      </c>
      <c r="H154" t="inlineStr">
        <is>
          <t>Consommables</t>
        </is>
      </c>
      <c r="I154" t="inlineStr">
        <is>
          <t>7</t>
        </is>
      </c>
      <c r="J154" t="inlineStr">
        <is>
          <t>10125</t>
        </is>
      </c>
      <c r="K154" t="inlineStr">
        <is>
          <t>0.03</t>
        </is>
      </c>
      <c r="L154" t="inlineStr">
        <is>
          <t>68749</t>
        </is>
      </c>
      <c r="M154" t="inlineStr">
        <is>
          <t>81 124</t>
        </is>
      </c>
    </row>
    <row r="155">
      <c r="A155" t="inlineStr">
        <is>
          <t>T05-250402-086501</t>
        </is>
      </c>
      <c r="B155" t="inlineStr">
        <is>
          <t>02/04/2025</t>
        </is>
      </c>
      <c r="C155" t="inlineStr">
        <is>
          <t>10:29</t>
        </is>
      </c>
      <c r="D155" t="inlineStr">
        <is>
          <t>Magasin 5 — Kaya Marché</t>
        </is>
      </c>
      <c r="E155" t="inlineStr">
        <is>
          <t>Salamatu Sankara</t>
        </is>
      </c>
      <c r="F155" t="inlineStr">
        <is>
          <t>7706</t>
        </is>
      </c>
      <c r="G155" t="inlineStr">
        <is>
          <t>Peinture glycéro 1 L — réf 2</t>
        </is>
      </c>
      <c r="H155" t="inlineStr">
        <is>
          <t>Peinture</t>
        </is>
      </c>
      <c r="I155" t="inlineStr">
        <is>
          <t>16</t>
        </is>
      </c>
      <c r="J155" t="inlineStr">
        <is>
          <t>3900</t>
        </is>
      </c>
      <c r="K155" t="inlineStr">
        <is>
          <t>0.04</t>
        </is>
      </c>
      <c r="L155" t="inlineStr">
        <is>
          <t>59904</t>
        </is>
      </c>
      <c r="M155" t="inlineStr">
        <is>
          <t>70 687</t>
        </is>
      </c>
    </row>
    <row r="156">
      <c r="A156" t="inlineStr">
        <is>
          <t>T05-250402-086502</t>
        </is>
      </c>
      <c r="B156" t="inlineStr">
        <is>
          <t>2025-04-02</t>
        </is>
      </c>
      <c r="C156" t="inlineStr">
        <is>
          <t>17:58</t>
        </is>
      </c>
      <c r="D156" t="inlineStr">
        <is>
          <t>Magasin 5 — Kaya Marché</t>
        </is>
      </c>
      <c r="E156" t="inlineStr">
        <is>
          <t>Salamatu Sankara</t>
        </is>
      </c>
      <c r="F156" t="inlineStr">
        <is>
          <t>8920</t>
        </is>
      </c>
      <c r="G156" t="inlineStr">
        <is>
          <t>Chasse d'eau 6 L — réf 1</t>
        </is>
      </c>
      <c r="H156" t="inlineStr">
        <is>
          <t>Plomberie</t>
        </is>
      </c>
      <c r="I156" t="inlineStr">
        <is>
          <t>3</t>
        </is>
      </c>
      <c r="J156" t="inlineStr">
        <is>
          <t>25900</t>
        </is>
      </c>
      <c r="K156" t="inlineStr">
        <is>
          <t>0.04</t>
        </is>
      </c>
      <c r="L156" t="inlineStr">
        <is>
          <t>74592</t>
        </is>
      </c>
      <c r="M156" t="inlineStr">
        <is>
          <t>88 019</t>
        </is>
      </c>
    </row>
    <row r="157">
      <c r="A157" t="inlineStr">
        <is>
          <t>T05-250402-086502</t>
        </is>
      </c>
      <c r="B157" t="inlineStr">
        <is>
          <t>2025-04-02</t>
        </is>
      </c>
      <c r="C157" t="inlineStr">
        <is>
          <t>08:11</t>
        </is>
      </c>
      <c r="D157" t="inlineStr">
        <is>
          <t>Magasin 5 — Kaya Marché</t>
        </is>
      </c>
      <c r="E157" t="inlineStr">
        <is>
          <t>Adama Bationo</t>
        </is>
      </c>
      <c r="F157" t="inlineStr">
        <is>
          <t>6563</t>
        </is>
      </c>
      <c r="G157" t="inlineStr">
        <is>
          <t>Écrou hexagonal 10 (sachet) — réf 1</t>
        </is>
      </c>
      <c r="H157" t="inlineStr">
        <is>
          <t>Quincaillerie</t>
        </is>
      </c>
      <c r="I157" t="inlineStr">
        <is>
          <t>-4</t>
        </is>
      </c>
      <c r="J157" t="inlineStr">
        <is>
          <t>1450</t>
        </is>
      </c>
      <c r="K157" t="inlineStr">
        <is>
          <t>0.04</t>
        </is>
      </c>
      <c r="L157" t="inlineStr">
        <is>
          <t>-5568</t>
        </is>
      </c>
      <c r="M157" t="inlineStr">
        <is>
          <t>-6 570</t>
        </is>
      </c>
    </row>
    <row r="158">
      <c r="A158" t="inlineStr">
        <is>
          <t>T05-250402-086503</t>
        </is>
      </c>
      <c r="B158" t="inlineStr">
        <is>
          <t>2025-04-02</t>
        </is>
      </c>
      <c r="C158" t="inlineStr">
        <is>
          <t>18:21</t>
        </is>
      </c>
      <c r="D158" t="inlineStr">
        <is>
          <t>Magasin 5 — Kaya Marché</t>
        </is>
      </c>
      <c r="E158" t="inlineStr">
        <is>
          <t>Salamatu Sankara</t>
        </is>
      </c>
      <c r="F158" t="inlineStr">
        <is>
          <t>2883</t>
        </is>
      </c>
      <c r="G158" t="inlineStr">
        <is>
          <t>Gravier 15/25 (m3) — réf 1</t>
        </is>
      </c>
      <c r="H158" t="inlineStr">
        <is>
          <t>Matériaux</t>
        </is>
      </c>
      <c r="I158" t="inlineStr">
        <is>
          <t>4</t>
        </is>
      </c>
      <c r="J158" t="inlineStr">
        <is>
          <t>30950</t>
        </is>
      </c>
      <c r="K158" t="inlineStr">
        <is>
          <t>0.08</t>
        </is>
      </c>
      <c r="L158" t="inlineStr">
        <is>
          <t>113896</t>
        </is>
      </c>
      <c r="M158" t="inlineStr">
        <is>
          <t>134 397</t>
        </is>
      </c>
    </row>
    <row r="159">
      <c r="A159" t="inlineStr">
        <is>
          <t>T05-250402-086503</t>
        </is>
      </c>
      <c r="B159" t="inlineStr">
        <is>
          <t>02/04/2025</t>
        </is>
      </c>
      <c r="C159" t="inlineStr">
        <is>
          <t>18:23</t>
        </is>
      </c>
      <c r="D159" t="inlineStr">
        <is>
          <t>Magasin 5 — Kaya Marché</t>
        </is>
      </c>
      <c r="E159" t="inlineStr">
        <is>
          <t>Salamatu Sankara</t>
        </is>
      </c>
      <c r="F159" t="inlineStr">
        <is>
          <t>14971</t>
        </is>
      </c>
      <c r="G159" t="inlineStr">
        <is>
          <t>Ciment CPJ45 50 kg — réf 2</t>
        </is>
      </c>
      <c r="H159" t="inlineStr">
        <is>
          <t>Matériaux</t>
        </is>
      </c>
      <c r="I159" t="inlineStr">
        <is>
          <t>17</t>
        </is>
      </c>
      <c r="J159" t="inlineStr">
        <is>
          <t>6475</t>
        </is>
      </c>
      <c r="K159" t="inlineStr">
        <is>
          <t>0.04</t>
        </is>
      </c>
      <c r="L159" t="inlineStr">
        <is>
          <t>105672</t>
        </is>
      </c>
      <c r="M159" t="inlineStr">
        <is>
          <t>124 693</t>
        </is>
      </c>
    </row>
    <row r="160">
      <c r="A160" t="inlineStr">
        <is>
          <t>T05-250402-086504</t>
        </is>
      </c>
      <c r="B160" t="inlineStr">
        <is>
          <t>2025-04-02</t>
        </is>
      </c>
      <c r="C160" t="inlineStr">
        <is>
          <t>12:02</t>
        </is>
      </c>
      <c r="D160" t="inlineStr">
        <is>
          <t>Magasin 5 — Kaya Marché</t>
        </is>
      </c>
      <c r="E160" t="inlineStr">
        <is>
          <t>Boureima Ouédraogo</t>
        </is>
      </c>
      <c r="F160" t="inlineStr">
        <is>
          <t>5989</t>
        </is>
      </c>
      <c r="G160" t="inlineStr">
        <is>
          <t>Panneau MDF 12 mm — réf 1</t>
        </is>
      </c>
      <c r="H160" t="inlineStr">
        <is>
          <t>Bois &amp; panneaux</t>
        </is>
      </c>
      <c r="I160" t="inlineStr">
        <is>
          <t>3</t>
        </is>
      </c>
      <c r="J160" t="inlineStr">
        <is>
          <t>17675</t>
        </is>
      </c>
      <c r="K160" t="inlineStr">
        <is>
          <t>0.0</t>
        </is>
      </c>
      <c r="L160" t="inlineStr">
        <is>
          <t>53025</t>
        </is>
      </c>
      <c r="M160" t="inlineStr">
        <is>
          <t>62 569</t>
        </is>
      </c>
    </row>
    <row r="161">
      <c r="A161" t="inlineStr">
        <is>
          <t>T05-250402-086504</t>
        </is>
      </c>
      <c r="B161" t="inlineStr">
        <is>
          <t>2025-04-02</t>
        </is>
      </c>
      <c r="C161" t="inlineStr">
        <is>
          <t>18:11</t>
        </is>
      </c>
      <c r="D161" t="inlineStr">
        <is>
          <t>Magasin 5 — Kaya Marché</t>
        </is>
      </c>
      <c r="E161" t="inlineStr">
        <is>
          <t>Boureima Ouédraogo</t>
        </is>
      </c>
      <c r="F161" t="inlineStr">
        <is>
          <t>0</t>
        </is>
      </c>
      <c r="G161" t="inlineStr">
        <is>
          <t>Sac de transport 100 kg — réf 2</t>
        </is>
      </c>
      <c r="H161" t="inlineStr">
        <is>
          <t>Consommables</t>
        </is>
      </c>
      <c r="I161" t="inlineStr">
        <is>
          <t>-1</t>
        </is>
      </c>
      <c r="J161" t="inlineStr">
        <is>
          <t>7675</t>
        </is>
      </c>
      <c r="K161" t="inlineStr">
        <is>
          <t>0.0</t>
        </is>
      </c>
      <c r="L161" t="inlineStr">
        <is>
          <t>-7675</t>
        </is>
      </c>
      <c r="M161" t="inlineStr">
        <is>
          <t>-9 057</t>
        </is>
      </c>
    </row>
    <row r="162">
      <c r="A162" t="inlineStr">
        <is>
          <t>T05-250402-086505</t>
        </is>
      </c>
      <c r="B162" t="inlineStr">
        <is>
          <t>2025-04-02</t>
        </is>
      </c>
      <c r="C162" t="inlineStr">
        <is>
          <t>14:55</t>
        </is>
      </c>
      <c r="D162" t="inlineStr">
        <is>
          <t>Magasin 5 — Kaya Marché</t>
        </is>
      </c>
      <c r="E162" t="inlineStr">
        <is>
          <t>Boureima Ouédraogo</t>
        </is>
      </c>
      <c r="F162" t="inlineStr">
        <is>
          <t>7693</t>
        </is>
      </c>
      <c r="G162" t="inlineStr">
        <is>
          <t>Parpaing 15 aggloméré — réf 1</t>
        </is>
      </c>
      <c r="H162" t="inlineStr">
        <is>
          <t>Matériaux</t>
        </is>
      </c>
      <c r="I162" t="inlineStr">
        <is>
          <t>27</t>
        </is>
      </c>
      <c r="J162" t="inlineStr">
        <is>
          <t>1450</t>
        </is>
      </c>
      <c r="K162" t="inlineStr">
        <is>
          <t>0.08</t>
        </is>
      </c>
      <c r="L162" t="inlineStr">
        <is>
          <t>36018</t>
        </is>
      </c>
      <c r="M162" t="inlineStr">
        <is>
          <t>42 501</t>
        </is>
      </c>
    </row>
    <row r="163">
      <c r="A163" t="inlineStr">
        <is>
          <t>T05-250402-086505</t>
        </is>
      </c>
      <c r="B163" t="inlineStr">
        <is>
          <t>2025-04-02</t>
        </is>
      </c>
      <c r="C163" t="inlineStr">
        <is>
          <t>16:51</t>
        </is>
      </c>
      <c r="D163" t="inlineStr">
        <is>
          <t>Magasin 5 — Kaya Marché</t>
        </is>
      </c>
      <c r="E163" t="inlineStr">
        <is>
          <t>Moussa Ilboudo</t>
        </is>
      </c>
      <c r="F163" t="inlineStr">
        <is>
          <t>0</t>
        </is>
      </c>
      <c r="G163" t="inlineStr">
        <is>
          <t>Pointe 100 mm (kg) — réf 1</t>
        </is>
      </c>
      <c r="H163" t="inlineStr">
        <is>
          <t>Quincaillerie</t>
        </is>
      </c>
      <c r="I163" t="inlineStr">
        <is>
          <t>-2</t>
        </is>
      </c>
      <c r="J163" t="inlineStr">
        <is>
          <t>2500</t>
        </is>
      </c>
      <c r="K163" t="inlineStr">
        <is>
          <t>0.0</t>
        </is>
      </c>
      <c r="L163" t="inlineStr">
        <is>
          <t>-5000</t>
        </is>
      </c>
      <c r="M163" t="inlineStr">
        <is>
          <t>-5 900</t>
        </is>
      </c>
    </row>
    <row r="164">
      <c r="A164" t="inlineStr">
        <is>
          <t>T05-250402-086506</t>
        </is>
      </c>
      <c r="B164" t="inlineStr">
        <is>
          <t>2025-04-02</t>
        </is>
      </c>
      <c r="C164" t="inlineStr">
        <is>
          <t>07:25</t>
        </is>
      </c>
      <c r="D164" t="inlineStr">
        <is>
          <t>Magasin 5 — Kaya Marché</t>
        </is>
      </c>
      <c r="E164" t="inlineStr">
        <is>
          <t>Boureima Ouédraogo</t>
        </is>
      </c>
      <c r="F164" t="inlineStr">
        <is>
          <t>4253</t>
        </is>
      </c>
      <c r="G164" t="inlineStr">
        <is>
          <t>Lavabo céramique — réf 1</t>
        </is>
      </c>
      <c r="H164" t="inlineStr">
        <is>
          <t>Plomberie</t>
        </is>
      </c>
      <c r="I164" t="inlineStr">
        <is>
          <t>12</t>
        </is>
      </c>
      <c r="J164" t="inlineStr">
        <is>
          <t>36950</t>
        </is>
      </c>
      <c r="K164" t="inlineStr">
        <is>
          <t>0.08</t>
        </is>
      </c>
      <c r="L164" t="inlineStr">
        <is>
          <t>407928</t>
        </is>
      </c>
      <c r="M164" t="inlineStr">
        <is>
          <t>481 355</t>
        </is>
      </c>
    </row>
    <row r="165">
      <c r="A165" t="inlineStr">
        <is>
          <t>T05-250501-090469</t>
        </is>
      </c>
      <c r="B165" t="inlineStr">
        <is>
          <t>2025-05-01</t>
        </is>
      </c>
      <c r="C165" t="inlineStr">
        <is>
          <t>10:30</t>
        </is>
      </c>
      <c r="D165" t="inlineStr">
        <is>
          <t>Magasin 5 — Kaya Marché</t>
        </is>
      </c>
      <c r="E165" t="inlineStr">
        <is>
          <t>Salamatu Sankara</t>
        </is>
      </c>
      <c r="F165" t="inlineStr">
        <is>
          <t>6584</t>
        </is>
      </c>
      <c r="G165" t="inlineStr">
        <is>
          <t>Peinture glycéro 1 L — réf 2</t>
        </is>
      </c>
      <c r="H165" t="inlineStr">
        <is>
          <t>Peinture</t>
        </is>
      </c>
      <c r="I165" t="inlineStr">
        <is>
          <t>10</t>
        </is>
      </c>
      <c r="J165" t="inlineStr">
        <is>
          <t>3800</t>
        </is>
      </c>
      <c r="K165" t="inlineStr">
        <is>
          <t>0.0</t>
        </is>
      </c>
      <c r="L165" t="inlineStr">
        <is>
          <t>38000</t>
        </is>
      </c>
      <c r="M165" t="inlineStr">
        <is>
          <t>44 840</t>
        </is>
      </c>
    </row>
    <row r="166">
      <c r="A166" t="inlineStr">
        <is>
          <t>T05-250501-090469</t>
        </is>
      </c>
      <c r="B166" t="inlineStr">
        <is>
          <t>2025-05-01</t>
        </is>
      </c>
      <c r="C166" t="inlineStr">
        <is>
          <t>07:03</t>
        </is>
      </c>
      <c r="D166" t="inlineStr">
        <is>
          <t>Magasin 5 — Kaya Marché</t>
        </is>
      </c>
      <c r="E166" t="inlineStr">
        <is>
          <t>Boureima Ouédraogo</t>
        </is>
      </c>
      <c r="F166" t="inlineStr">
        <is>
          <t>12559</t>
        </is>
      </c>
      <c r="G166" t="inlineStr">
        <is>
          <t>Carreau de pavement 40x40 — réf 1</t>
        </is>
      </c>
      <c r="H166" t="inlineStr">
        <is>
          <t>Matériaux</t>
        </is>
      </c>
      <c r="I166" t="inlineStr">
        <is>
          <t>4</t>
        </is>
      </c>
      <c r="J166" t="inlineStr">
        <is>
          <t>1075</t>
        </is>
      </c>
      <c r="K166" t="inlineStr">
        <is>
          <t>0.0</t>
        </is>
      </c>
      <c r="L166" t="inlineStr">
        <is>
          <t>4300</t>
        </is>
      </c>
      <c r="M166" t="inlineStr">
        <is>
          <t>5 074</t>
        </is>
      </c>
    </row>
    <row r="167">
      <c r="A167" t="inlineStr">
        <is>
          <t>T05-250501-090469</t>
        </is>
      </c>
      <c r="B167" t="inlineStr">
        <is>
          <t>2025-05-01</t>
        </is>
      </c>
      <c r="C167" t="inlineStr">
        <is>
          <t>16:10</t>
        </is>
      </c>
      <c r="D167" t="inlineStr">
        <is>
          <t>Magasin 5 — Kaya Marché</t>
        </is>
      </c>
      <c r="E167" t="inlineStr">
        <is>
          <t>Boureima Ouédraogo</t>
        </is>
      </c>
      <c r="F167" t="inlineStr">
        <is>
          <t>475</t>
        </is>
      </c>
      <c r="G167" t="inlineStr">
        <is>
          <t>Tout-venant (m3) — réf 2</t>
        </is>
      </c>
      <c r="H167" t="inlineStr">
        <is>
          <t>Matériaux</t>
        </is>
      </c>
      <c r="I167" t="inlineStr">
        <is>
          <t>1</t>
        </is>
      </c>
      <c r="J167" t="inlineStr">
        <is>
          <t>23600</t>
        </is>
      </c>
      <c r="K167" t="inlineStr">
        <is>
          <t>0.04</t>
        </is>
      </c>
      <c r="L167" t="inlineStr">
        <is>
          <t>22656</t>
        </is>
      </c>
      <c r="M167" t="inlineStr">
        <is>
          <t>26 734</t>
        </is>
      </c>
    </row>
    <row r="168">
      <c r="A168" t="inlineStr">
        <is>
          <t>T05-250501-090469</t>
        </is>
      </c>
      <c r="B168" t="inlineStr">
        <is>
          <t>2025-05-01</t>
        </is>
      </c>
      <c r="C168" t="inlineStr">
        <is>
          <t>12:26</t>
        </is>
      </c>
      <c r="D168" t="inlineStr">
        <is>
          <t>Magasin 5 — Kaya Marché</t>
        </is>
      </c>
      <c r="E168" t="inlineStr">
        <is>
          <t>Salamatu Sankara</t>
        </is>
      </c>
      <c r="F168" t="inlineStr">
        <is>
          <t>1690</t>
        </is>
      </c>
      <c r="G168" t="inlineStr">
        <is>
          <t>Pelle carrée — réf 2</t>
        </is>
      </c>
      <c r="H168" t="inlineStr">
        <is>
          <t>Consommables</t>
        </is>
      </c>
      <c r="I168" t="inlineStr">
        <is>
          <t>2</t>
        </is>
      </c>
      <c r="J168" t="inlineStr">
        <is>
          <t>5300</t>
        </is>
      </c>
      <c r="K168" t="inlineStr">
        <is>
          <t>0.08</t>
        </is>
      </c>
      <c r="L168" t="inlineStr">
        <is>
          <t>9752</t>
        </is>
      </c>
      <c r="M168" t="inlineStr">
        <is>
          <t>11 507</t>
        </is>
      </c>
    </row>
    <row r="169">
      <c r="A169" t="inlineStr">
        <is>
          <t>T05-250501-090470</t>
        </is>
      </c>
      <c r="B169" t="inlineStr">
        <is>
          <t>2025-05-01</t>
        </is>
      </c>
      <c r="C169" t="inlineStr">
        <is>
          <t>18:44</t>
        </is>
      </c>
      <c r="D169" t="inlineStr">
        <is>
          <t>Magasin 5 — Kaya Marché</t>
        </is>
      </c>
      <c r="E169" t="inlineStr">
        <is>
          <t>Adama Bationo</t>
        </is>
      </c>
      <c r="F169" t="inlineStr">
        <is>
          <t>9291</t>
        </is>
      </c>
      <c r="G169" t="inlineStr">
        <is>
          <t>Tube PVC évacuation 100 mm (ml) — réf 1</t>
        </is>
      </c>
      <c r="H169" t="inlineStr">
        <is>
          <t>Plomberie</t>
        </is>
      </c>
      <c r="I169" t="inlineStr">
        <is>
          <t>4</t>
        </is>
      </c>
      <c r="J169" t="inlineStr">
        <is>
          <t>3350</t>
        </is>
      </c>
      <c r="K169" t="inlineStr">
        <is>
          <t>0.0</t>
        </is>
      </c>
      <c r="L169" t="inlineStr">
        <is>
          <t>13400</t>
        </is>
      </c>
      <c r="M169" t="inlineStr">
        <is>
          <t>15 812</t>
        </is>
      </c>
    </row>
    <row r="170">
      <c r="A170" t="inlineStr">
        <is>
          <t>T05-250501-090470</t>
        </is>
      </c>
      <c r="B170" t="inlineStr">
        <is>
          <t>2025-05-01</t>
        </is>
      </c>
      <c r="C170" t="inlineStr">
        <is>
          <t>16:25</t>
        </is>
      </c>
      <c r="D170" t="inlineStr">
        <is>
          <t>Magasin 5 — Kaya Marché</t>
        </is>
      </c>
      <c r="E170" t="inlineStr">
        <is>
          <t>Adama Bationo</t>
        </is>
      </c>
      <c r="F170" t="inlineStr">
        <is>
          <t>15557</t>
        </is>
      </c>
      <c r="G170" t="inlineStr">
        <is>
          <t>Écrou hexagonal 10 (sachet) — réf 2</t>
        </is>
      </c>
      <c r="H170" t="inlineStr">
        <is>
          <t>Quincaillerie</t>
        </is>
      </c>
      <c r="I170" t="inlineStr">
        <is>
          <t>1</t>
        </is>
      </c>
      <c r="J170" t="inlineStr">
        <is>
          <t>2100</t>
        </is>
      </c>
      <c r="K170" t="inlineStr">
        <is>
          <t>0.04</t>
        </is>
      </c>
      <c r="L170" t="inlineStr">
        <is>
          <t>2016</t>
        </is>
      </c>
      <c r="M170" t="inlineStr">
        <is>
          <t>2 379</t>
        </is>
      </c>
    </row>
    <row r="171">
      <c r="A171" t="inlineStr">
        <is>
          <t>T05-250501-090470</t>
        </is>
      </c>
      <c r="B171" t="inlineStr">
        <is>
          <t>2025-05-01</t>
        </is>
      </c>
      <c r="C171" t="inlineStr">
        <is>
          <t>11:03</t>
        </is>
      </c>
      <c r="D171" t="inlineStr">
        <is>
          <t>Magasin 5 — Kaya Marché</t>
        </is>
      </c>
      <c r="E171" t="inlineStr">
        <is>
          <t>Moussa Ilboudo</t>
        </is>
      </c>
      <c r="F171" t="inlineStr">
        <is>
          <t>14630</t>
        </is>
      </c>
      <c r="G171" t="inlineStr">
        <is>
          <t>Coude PVC 90° 100 — réf 1</t>
        </is>
      </c>
      <c r="H171" t="inlineStr">
        <is>
          <t>Plomberie</t>
        </is>
      </c>
      <c r="I171" t="inlineStr">
        <is>
          <t>3</t>
        </is>
      </c>
      <c r="J171" t="inlineStr">
        <is>
          <t>4075</t>
        </is>
      </c>
      <c r="K171" t="inlineStr">
        <is>
          <t>0.04</t>
        </is>
      </c>
      <c r="L171" t="inlineStr">
        <is>
          <t>11736</t>
        </is>
      </c>
      <c r="M171" t="inlineStr">
        <is>
          <t>13 848</t>
        </is>
      </c>
    </row>
    <row r="172">
      <c r="A172" t="inlineStr">
        <is>
          <t>T05-250501-090471</t>
        </is>
      </c>
      <c r="B172" t="inlineStr">
        <is>
          <t>2025-05-01</t>
        </is>
      </c>
      <c r="C172" t="inlineStr">
        <is>
          <t>07:15</t>
        </is>
      </c>
      <c r="D172" t="inlineStr">
        <is>
          <t>Magasin 5 — Kaya Marché</t>
        </is>
      </c>
      <c r="E172" t="inlineStr">
        <is>
          <t>Adama Bationo</t>
        </is>
      </c>
      <c r="F172" t="inlineStr">
        <is>
          <t>0</t>
        </is>
      </c>
      <c r="G172" t="inlineStr">
        <is>
          <t>Lavabo céramique — réf 2</t>
        </is>
      </c>
      <c r="H172" t="inlineStr">
        <is>
          <t>Plomberie</t>
        </is>
      </c>
      <c r="I172" t="inlineStr">
        <is>
          <t>1</t>
        </is>
      </c>
      <c r="J172" t="inlineStr">
        <is>
          <t>40550</t>
        </is>
      </c>
      <c r="K172" t="inlineStr">
        <is>
          <t>0.0</t>
        </is>
      </c>
      <c r="L172" t="inlineStr">
        <is>
          <t>40550</t>
        </is>
      </c>
      <c r="M172" t="inlineStr">
        <is>
          <t>47 849</t>
        </is>
      </c>
    </row>
    <row r="173">
      <c r="A173" t="inlineStr">
        <is>
          <t>T05-250501-090471</t>
        </is>
      </c>
      <c r="B173" t="inlineStr">
        <is>
          <t>2025-05-01</t>
        </is>
      </c>
      <c r="C173" t="inlineStr">
        <is>
          <t>13:52</t>
        </is>
      </c>
      <c r="D173" t="inlineStr">
        <is>
          <t>Magasin 5 — Kaya Marché</t>
        </is>
      </c>
      <c r="E173" t="inlineStr">
        <is>
          <t>Boureima Ouédraogo</t>
        </is>
      </c>
      <c r="F173" t="inlineStr">
        <is>
          <t>17473</t>
        </is>
      </c>
      <c r="G173" t="inlineStr">
        <is>
          <t>Douille E27 avec cordon — réf 1</t>
        </is>
      </c>
      <c r="H173" t="inlineStr">
        <is>
          <t>Electricité</t>
        </is>
      </c>
      <c r="I173" t="inlineStr">
        <is>
          <t>2</t>
        </is>
      </c>
      <c r="J173" t="inlineStr">
        <is>
          <t>12400</t>
        </is>
      </c>
      <c r="K173" t="inlineStr">
        <is>
          <t>0.0</t>
        </is>
      </c>
      <c r="L173" t="inlineStr">
        <is>
          <t>24800</t>
        </is>
      </c>
      <c r="M173" t="inlineStr">
        <is>
          <t>29 264</t>
        </is>
      </c>
    </row>
    <row r="174">
      <c r="A174" t="inlineStr">
        <is>
          <t>T05-250501-090471</t>
        </is>
      </c>
      <c r="B174" t="inlineStr">
        <is>
          <t>2025-05-01</t>
        </is>
      </c>
      <c r="C174" t="inlineStr">
        <is>
          <t>17:56</t>
        </is>
      </c>
      <c r="D174" t="inlineStr">
        <is>
          <t>Magasin 5 — Kaya Marché</t>
        </is>
      </c>
      <c r="E174" t="inlineStr">
        <is>
          <t>Adama Bationo</t>
        </is>
      </c>
      <c r="F174" t="inlineStr">
        <is>
          <t>20136</t>
        </is>
      </c>
      <c r="G174" t="inlineStr">
        <is>
          <t>Parpaing 15 aggloméré — réf 1</t>
        </is>
      </c>
      <c r="H174" t="inlineStr">
        <is>
          <t>Matériaux</t>
        </is>
      </c>
      <c r="I174" t="inlineStr">
        <is>
          <t>4</t>
        </is>
      </c>
      <c r="J174" t="inlineStr">
        <is>
          <t>1475</t>
        </is>
      </c>
      <c r="K174" t="inlineStr">
        <is>
          <t>0.07</t>
        </is>
      </c>
      <c r="L174" t="inlineStr">
        <is>
          <t>5487</t>
        </is>
      </c>
      <c r="M174" t="inlineStr">
        <is>
          <t>6 475</t>
        </is>
      </c>
    </row>
    <row r="175">
      <c r="A175" t="inlineStr">
        <is>
          <t>T05-250501-090472</t>
        </is>
      </c>
      <c r="B175" t="inlineStr">
        <is>
          <t>2025-05-01</t>
        </is>
      </c>
      <c r="C175" t="inlineStr">
        <is>
          <t>15:40</t>
        </is>
      </c>
      <c r="D175" t="inlineStr">
        <is>
          <t>Magasin 5 — Kaya Marché</t>
        </is>
      </c>
      <c r="E175" t="inlineStr">
        <is>
          <t>Boureima Ouédraogo</t>
        </is>
      </c>
      <c r="F175" t="inlineStr">
        <is>
          <t>14106</t>
        </is>
      </c>
      <c r="G175" t="inlineStr">
        <is>
          <t>Pince coupante 200 mm — réf 2</t>
        </is>
      </c>
      <c r="H175" t="inlineStr">
        <is>
          <t>Quincaillerie</t>
        </is>
      </c>
      <c r="I175" t="inlineStr">
        <is>
          <t>2</t>
        </is>
      </c>
      <c r="J175" t="inlineStr">
        <is>
          <t>10500</t>
        </is>
      </c>
      <c r="K175" t="inlineStr">
        <is>
          <t>0.04</t>
        </is>
      </c>
      <c r="L175" t="inlineStr">
        <is>
          <t>20160</t>
        </is>
      </c>
      <c r="M175" t="inlineStr">
        <is>
          <t>23 789</t>
        </is>
      </c>
    </row>
    <row r="176">
      <c r="A176" t="inlineStr">
        <is>
          <t>T05-250501-090472</t>
        </is>
      </c>
      <c r="B176" t="inlineStr">
        <is>
          <t>01/05/2025</t>
        </is>
      </c>
      <c r="C176" t="inlineStr">
        <is>
          <t>09:38</t>
        </is>
      </c>
      <c r="D176" t="inlineStr">
        <is>
          <t>Magasin 5 — Kaya Marché</t>
        </is>
      </c>
      <c r="E176" t="inlineStr">
        <is>
          <t>Adama Bationo</t>
        </is>
      </c>
      <c r="F176" t="inlineStr"/>
      <c r="G176" t="inlineStr">
        <is>
          <t>Chasse d'eau 6 L — réf 1</t>
        </is>
      </c>
      <c r="H176" t="inlineStr">
        <is>
          <t>Plomberie</t>
        </is>
      </c>
      <c r="I176" t="inlineStr">
        <is>
          <t>3</t>
        </is>
      </c>
      <c r="J176" t="inlineStr">
        <is>
          <t>26075</t>
        </is>
      </c>
      <c r="K176" t="inlineStr">
        <is>
          <t>0.0</t>
        </is>
      </c>
      <c r="L176" t="inlineStr">
        <is>
          <t>78225</t>
        </is>
      </c>
      <c r="M176" t="inlineStr">
        <is>
          <t>92 305</t>
        </is>
      </c>
    </row>
    <row r="177">
      <c r="A177" t="inlineStr">
        <is>
          <t>T05-250501-090472</t>
        </is>
      </c>
      <c r="B177" t="inlineStr">
        <is>
          <t>2025-05-01</t>
        </is>
      </c>
      <c r="C177" t="inlineStr">
        <is>
          <t>15:17</t>
        </is>
      </c>
      <c r="D177" t="inlineStr">
        <is>
          <t>Magasin 5 — Kaya Marché</t>
        </is>
      </c>
      <c r="E177" t="inlineStr">
        <is>
          <t>Adama Bationo</t>
        </is>
      </c>
      <c r="F177" t="inlineStr">
        <is>
          <t>10827</t>
        </is>
      </c>
      <c r="G177" t="inlineStr">
        <is>
          <t>Enduit de rebouchage 5 kg — réf 1</t>
        </is>
      </c>
      <c r="H177" t="inlineStr">
        <is>
          <t>Peinture</t>
        </is>
      </c>
      <c r="I177" t="inlineStr">
        <is>
          <t>9</t>
        </is>
      </c>
      <c r="J177" t="inlineStr">
        <is>
          <t>4250</t>
        </is>
      </c>
      <c r="K177" t="inlineStr">
        <is>
          <t>0.0</t>
        </is>
      </c>
      <c r="L177" t="inlineStr">
        <is>
          <t>38250</t>
        </is>
      </c>
      <c r="M177" t="inlineStr">
        <is>
          <t>45 135</t>
        </is>
      </c>
    </row>
    <row r="178">
      <c r="A178" t="inlineStr">
        <is>
          <t>T05-250501-090473</t>
        </is>
      </c>
      <c r="B178" t="inlineStr">
        <is>
          <t>2025-05-01</t>
        </is>
      </c>
      <c r="C178" t="inlineStr">
        <is>
          <t>10:08</t>
        </is>
      </c>
      <c r="D178" t="inlineStr">
        <is>
          <t>Magasin 5 — Kaya Marché</t>
        </is>
      </c>
      <c r="E178" t="inlineStr">
        <is>
          <t>Boureima Ouédraogo</t>
        </is>
      </c>
      <c r="F178" t="inlineStr">
        <is>
          <t>14652</t>
        </is>
      </c>
      <c r="G178" t="inlineStr">
        <is>
          <t>Mètre ruban 5 m — réf 2</t>
        </is>
      </c>
      <c r="H178" t="inlineStr">
        <is>
          <t>Quincaillerie</t>
        </is>
      </c>
      <c r="I178" t="inlineStr">
        <is>
          <t>2</t>
        </is>
      </c>
      <c r="J178" t="inlineStr">
        <is>
          <t>6550</t>
        </is>
      </c>
      <c r="K178" t="inlineStr">
        <is>
          <t>0.0</t>
        </is>
      </c>
      <c r="L178" t="inlineStr">
        <is>
          <t>13100</t>
        </is>
      </c>
      <c r="M178" t="inlineStr">
        <is>
          <t>15 458</t>
        </is>
      </c>
    </row>
    <row r="179">
      <c r="A179" t="inlineStr">
        <is>
          <t>T05-250501-090473</t>
        </is>
      </c>
      <c r="B179" t="inlineStr">
        <is>
          <t>2025-05-01</t>
        </is>
      </c>
      <c r="C179" t="inlineStr">
        <is>
          <t>18:36</t>
        </is>
      </c>
      <c r="D179" t="inlineStr">
        <is>
          <t>Magasin 5 — Kaya Marché</t>
        </is>
      </c>
      <c r="E179" t="inlineStr">
        <is>
          <t>Moussa Ilboudo</t>
        </is>
      </c>
      <c r="F179" t="inlineStr">
        <is>
          <t>6600</t>
        </is>
      </c>
      <c r="G179" t="inlineStr">
        <is>
          <t>Brique de terre cuite — réf 2</t>
        </is>
      </c>
      <c r="H179" t="inlineStr">
        <is>
          <t>Matériaux</t>
        </is>
      </c>
      <c r="I179" t="inlineStr">
        <is>
          <t>1</t>
        </is>
      </c>
      <c r="J179" t="inlineStr">
        <is>
          <t>725</t>
        </is>
      </c>
      <c r="K179" t="inlineStr">
        <is>
          <t>0.04</t>
        </is>
      </c>
      <c r="L179" t="inlineStr">
        <is>
          <t>696</t>
        </is>
      </c>
      <c r="M179" t="inlineStr">
        <is>
          <t>821</t>
        </is>
      </c>
    </row>
    <row r="180">
      <c r="A180" t="inlineStr">
        <is>
          <t>T05-250501-090473</t>
        </is>
      </c>
      <c r="B180" t="inlineStr">
        <is>
          <t>2025-05-01</t>
        </is>
      </c>
      <c r="C180" t="inlineStr">
        <is>
          <t>15:12</t>
        </is>
      </c>
      <c r="D180" t="inlineStr">
        <is>
          <t>Magasin 5 — Kaya Marché</t>
        </is>
      </c>
      <c r="E180" t="inlineStr">
        <is>
          <t>Moussa Ilboudo</t>
        </is>
      </c>
      <c r="F180" t="inlineStr">
        <is>
          <t>7932</t>
        </is>
      </c>
      <c r="G180" t="inlineStr">
        <is>
          <t>Câble 3x2,5 (rouleau 100 m) — réf 2</t>
        </is>
      </c>
      <c r="H180" t="inlineStr">
        <is>
          <t>Electricité</t>
        </is>
      </c>
      <c r="I180" t="inlineStr">
        <is>
          <t>6</t>
        </is>
      </c>
      <c r="J180" t="inlineStr">
        <is>
          <t>17100</t>
        </is>
      </c>
      <c r="K180" t="inlineStr">
        <is>
          <t>0.08</t>
        </is>
      </c>
      <c r="L180" t="inlineStr">
        <is>
          <t>94392</t>
        </is>
      </c>
      <c r="M180" t="inlineStr">
        <is>
          <t>111 383</t>
        </is>
      </c>
    </row>
    <row r="181">
      <c r="A181" t="inlineStr">
        <is>
          <t>T05-250501-090474</t>
        </is>
      </c>
      <c r="B181" t="inlineStr">
        <is>
          <t>2025-05-01</t>
        </is>
      </c>
      <c r="C181" t="inlineStr">
        <is>
          <t>18:57</t>
        </is>
      </c>
      <c r="D181" t="inlineStr">
        <is>
          <t>Magasin 5 — Kaya Marché</t>
        </is>
      </c>
      <c r="E181" t="inlineStr">
        <is>
          <t>Moussa Ilboudo</t>
        </is>
      </c>
      <c r="F181" t="inlineStr">
        <is>
          <t>0</t>
        </is>
      </c>
      <c r="G181" t="inlineStr">
        <is>
          <t>Carreau de pavement 40x40 — réf 2</t>
        </is>
      </c>
      <c r="H181" t="inlineStr">
        <is>
          <t>Matériaux</t>
        </is>
      </c>
      <c r="I181" t="inlineStr">
        <is>
          <t>13</t>
        </is>
      </c>
      <c r="J181" t="inlineStr">
        <is>
          <t>1075</t>
        </is>
      </c>
      <c r="K181" t="inlineStr">
        <is>
          <t>0.0</t>
        </is>
      </c>
      <c r="L181" t="inlineStr">
        <is>
          <t>13975</t>
        </is>
      </c>
      <c r="M181" t="inlineStr">
        <is>
          <t>16 491</t>
        </is>
      </c>
    </row>
    <row r="182">
      <c r="A182" t="inlineStr">
        <is>
          <t>T05-250501-090474</t>
        </is>
      </c>
      <c r="B182" t="inlineStr">
        <is>
          <t>2025-05-01</t>
        </is>
      </c>
      <c r="C182" t="inlineStr">
        <is>
          <t>08:16</t>
        </is>
      </c>
      <c r="D182" t="inlineStr">
        <is>
          <t>Magasin 5 — Kaya Marché</t>
        </is>
      </c>
      <c r="E182" t="inlineStr">
        <is>
          <t>Adama Bationo</t>
        </is>
      </c>
      <c r="F182" t="inlineStr">
        <is>
          <t>9093</t>
        </is>
      </c>
      <c r="G182" t="inlineStr">
        <is>
          <t>Plâtre de construction 25 kg — réf 1</t>
        </is>
      </c>
      <c r="H182" t="inlineStr">
        <is>
          <t>Matériaux</t>
        </is>
      </c>
      <c r="I182" t="inlineStr">
        <is>
          <t>6</t>
        </is>
      </c>
      <c r="J182" t="inlineStr">
        <is>
          <t>4375</t>
        </is>
      </c>
      <c r="K182" t="inlineStr">
        <is>
          <t>0.0</t>
        </is>
      </c>
      <c r="L182" t="inlineStr">
        <is>
          <t>26250</t>
        </is>
      </c>
      <c r="M182" t="inlineStr">
        <is>
          <t>30 975</t>
        </is>
      </c>
    </row>
    <row r="183">
      <c r="A183" t="inlineStr">
        <is>
          <t>T05-250501-090474</t>
        </is>
      </c>
      <c r="B183" t="inlineStr">
        <is>
          <t>2025-05-01</t>
        </is>
      </c>
      <c r="C183" t="inlineStr">
        <is>
          <t>16:53</t>
        </is>
      </c>
      <c r="D183" t="inlineStr">
        <is>
          <t>Magasin 5 — Kaya Marché</t>
        </is>
      </c>
      <c r="E183" t="inlineStr">
        <is>
          <t>Salamatu Sankara</t>
        </is>
      </c>
      <c r="F183" t="inlineStr">
        <is>
          <t>16868</t>
        </is>
      </c>
      <c r="G183" t="inlineStr">
        <is>
          <t>Brouette 90 L — réf 1</t>
        </is>
      </c>
      <c r="H183" t="inlineStr">
        <is>
          <t>Consommables</t>
        </is>
      </c>
      <c r="I183" t="inlineStr">
        <is>
          <t>2</t>
        </is>
      </c>
      <c r="J183" t="inlineStr">
        <is>
          <t>5275</t>
        </is>
      </c>
      <c r="K183" t="inlineStr">
        <is>
          <t>0.08</t>
        </is>
      </c>
      <c r="L183" t="inlineStr">
        <is>
          <t>9706</t>
        </is>
      </c>
      <c r="M183" t="inlineStr">
        <is>
          <t>11 453</t>
        </is>
      </c>
    </row>
    <row r="184">
      <c r="A184" t="inlineStr">
        <is>
          <t>T05-250502-090566</t>
        </is>
      </c>
      <c r="B184" t="inlineStr">
        <is>
          <t>2025-05-02</t>
        </is>
      </c>
      <c r="C184" t="inlineStr">
        <is>
          <t>13:47</t>
        </is>
      </c>
      <c r="D184" t="inlineStr">
        <is>
          <t>Magasin 5 — Kaya Marché</t>
        </is>
      </c>
      <c r="E184" t="inlineStr">
        <is>
          <t>Boureima Ouédraogo</t>
        </is>
      </c>
      <c r="F184" t="inlineStr">
        <is>
          <t>23455</t>
        </is>
      </c>
      <c r="G184" t="inlineStr">
        <is>
          <t>Hourdis creux 12 — réf 1</t>
        </is>
      </c>
      <c r="H184" t="inlineStr">
        <is>
          <t>Matériaux</t>
        </is>
      </c>
      <c r="I184" t="inlineStr">
        <is>
          <t>9</t>
        </is>
      </c>
      <c r="J184" t="inlineStr">
        <is>
          <t>1025</t>
        </is>
      </c>
      <c r="K184" t="inlineStr">
        <is>
          <t>0.0</t>
        </is>
      </c>
      <c r="L184" t="inlineStr">
        <is>
          <t>9225</t>
        </is>
      </c>
      <c r="M184" t="inlineStr">
        <is>
          <t>10 885</t>
        </is>
      </c>
    </row>
    <row r="185">
      <c r="A185" t="inlineStr">
        <is>
          <t>T05-250502-090566</t>
        </is>
      </c>
      <c r="B185" t="inlineStr">
        <is>
          <t>2025-05-02</t>
        </is>
      </c>
      <c r="C185" t="inlineStr">
        <is>
          <t>09:27</t>
        </is>
      </c>
      <c r="D185" t="inlineStr">
        <is>
          <t>Magasin 5 — Kaya Marché</t>
        </is>
      </c>
      <c r="E185" t="inlineStr">
        <is>
          <t>Salamatu Sankara</t>
        </is>
      </c>
      <c r="F185" t="inlineStr">
        <is>
          <t>11891</t>
        </is>
      </c>
      <c r="G185" t="inlineStr">
        <is>
          <t>Écrou hexagonal 10 (sachet) — réf 2</t>
        </is>
      </c>
      <c r="H185" t="inlineStr">
        <is>
          <t>Quincaillerie</t>
        </is>
      </c>
      <c r="I185" t="inlineStr">
        <is>
          <t>16</t>
        </is>
      </c>
      <c r="J185" t="inlineStr">
        <is>
          <t>2150</t>
        </is>
      </c>
      <c r="K185" t="inlineStr">
        <is>
          <t>0.0</t>
        </is>
      </c>
      <c r="L185" t="inlineStr">
        <is>
          <t>34400</t>
        </is>
      </c>
      <c r="M185" t="inlineStr">
        <is>
          <t>40 592</t>
        </is>
      </c>
    </row>
    <row r="186">
      <c r="A186" t="inlineStr">
        <is>
          <t>T05-250502-090566</t>
        </is>
      </c>
      <c r="B186" t="inlineStr">
        <is>
          <t>2025-05-02</t>
        </is>
      </c>
      <c r="C186" t="inlineStr">
        <is>
          <t>08:44</t>
        </is>
      </c>
      <c r="D186" t="inlineStr">
        <is>
          <t>Magasin 5 — Kaya Marché</t>
        </is>
      </c>
      <c r="E186" t="inlineStr">
        <is>
          <t>Moussa Ilboudo</t>
        </is>
      </c>
      <c r="F186" t="inlineStr">
        <is>
          <t>12948</t>
        </is>
      </c>
      <c r="G186" t="inlineStr">
        <is>
          <t>Vis à bois 4x40 (boîte) — réf 1</t>
        </is>
      </c>
      <c r="H186" t="inlineStr">
        <is>
          <t>Quincaillerie</t>
        </is>
      </c>
      <c r="I186" t="inlineStr">
        <is>
          <t>1</t>
        </is>
      </c>
      <c r="J186" t="inlineStr">
        <is>
          <t>1750</t>
        </is>
      </c>
      <c r="K186" t="inlineStr">
        <is>
          <t>0.0</t>
        </is>
      </c>
      <c r="L186" t="inlineStr">
        <is>
          <t>1750</t>
        </is>
      </c>
      <c r="M186" t="inlineStr">
        <is>
          <t>2 065</t>
        </is>
      </c>
    </row>
    <row r="187">
      <c r="A187" t="inlineStr">
        <is>
          <t>T05-250502-090566</t>
        </is>
      </c>
      <c r="B187" t="inlineStr">
        <is>
          <t>2025-05-02</t>
        </is>
      </c>
      <c r="C187" t="inlineStr">
        <is>
          <t>17:12</t>
        </is>
      </c>
      <c r="D187" t="inlineStr">
        <is>
          <t>Magasin 5 — Kaya Marché</t>
        </is>
      </c>
      <c r="E187" t="inlineStr">
        <is>
          <t>Adama Bationo</t>
        </is>
      </c>
      <c r="F187" t="inlineStr">
        <is>
          <t>10895</t>
        </is>
      </c>
      <c r="G187" t="inlineStr">
        <is>
          <t>Enduit de lissage 20 kg — réf 2</t>
        </is>
      </c>
      <c r="H187" t="inlineStr">
        <is>
          <t>Matériaux</t>
        </is>
      </c>
      <c r="I187" t="inlineStr">
        <is>
          <t>5</t>
        </is>
      </c>
      <c r="J187" t="inlineStr">
        <is>
          <t>6500</t>
        </is>
      </c>
      <c r="K187" t="inlineStr">
        <is>
          <t>0.0</t>
        </is>
      </c>
      <c r="L187" t="inlineStr">
        <is>
          <t>32500</t>
        </is>
      </c>
      <c r="M187" t="inlineStr">
        <is>
          <t>38 350</t>
        </is>
      </c>
    </row>
    <row r="188">
      <c r="A188" t="inlineStr">
        <is>
          <t>T05-250502-090567</t>
        </is>
      </c>
      <c r="B188" t="inlineStr">
        <is>
          <t>2025-05-02</t>
        </is>
      </c>
      <c r="C188" t="inlineStr">
        <is>
          <t>09:03</t>
        </is>
      </c>
      <c r="D188" t="inlineStr">
        <is>
          <t>Magasin 5 — Kaya Marché</t>
        </is>
      </c>
      <c r="E188" t="inlineStr">
        <is>
          <t>Salamatu Sankara</t>
        </is>
      </c>
      <c r="F188" t="inlineStr">
        <is>
          <t>7489</t>
        </is>
      </c>
      <c r="G188" t="inlineStr">
        <is>
          <t>Ciment CPJ35 50 kg — réf 1</t>
        </is>
      </c>
      <c r="H188" t="inlineStr">
        <is>
          <t>Matériaux</t>
        </is>
      </c>
      <c r="I188" t="inlineStr">
        <is>
          <t>2</t>
        </is>
      </c>
      <c r="J188" t="inlineStr">
        <is>
          <t>6300</t>
        </is>
      </c>
      <c r="K188" t="inlineStr">
        <is>
          <t>0.0</t>
        </is>
      </c>
      <c r="L188" t="inlineStr">
        <is>
          <t>12600</t>
        </is>
      </c>
      <c r="M188" t="inlineStr">
        <is>
          <t>14 868</t>
        </is>
      </c>
    </row>
    <row r="189">
      <c r="A189" t="inlineStr">
        <is>
          <t>T05-250502-090567</t>
        </is>
      </c>
      <c r="B189" t="inlineStr">
        <is>
          <t>2025-05-02</t>
        </is>
      </c>
      <c r="C189" t="inlineStr">
        <is>
          <t>13:41</t>
        </is>
      </c>
      <c r="D189" t="inlineStr">
        <is>
          <t>Magasin 5 — Kaya Marché</t>
        </is>
      </c>
      <c r="E189" t="inlineStr">
        <is>
          <t>Salamatu Sankara</t>
        </is>
      </c>
      <c r="F189" t="inlineStr">
        <is>
          <t>0</t>
        </is>
      </c>
      <c r="G189" t="inlineStr">
        <is>
          <t>Hourdis creux 12 — réf 2</t>
        </is>
      </c>
      <c r="H189" t="inlineStr">
        <is>
          <t>Matériaux</t>
        </is>
      </c>
      <c r="I189" t="inlineStr">
        <is>
          <t>4</t>
        </is>
      </c>
      <c r="J189" t="inlineStr">
        <is>
          <t>1600</t>
        </is>
      </c>
      <c r="K189" t="inlineStr">
        <is>
          <t>0.0</t>
        </is>
      </c>
      <c r="L189" t="inlineStr">
        <is>
          <t>6400</t>
        </is>
      </c>
      <c r="M189" t="inlineStr">
        <is>
          <t>7 552</t>
        </is>
      </c>
    </row>
    <row r="190">
      <c r="A190" t="inlineStr">
        <is>
          <t>T05-250502-090567</t>
        </is>
      </c>
      <c r="B190" t="inlineStr">
        <is>
          <t>02/05/2025</t>
        </is>
      </c>
      <c r="C190" t="inlineStr">
        <is>
          <t>15:09</t>
        </is>
      </c>
      <c r="D190" t="inlineStr">
        <is>
          <t>Magasin 5 — Kaya Marché</t>
        </is>
      </c>
      <c r="E190" t="inlineStr">
        <is>
          <t>Salamatu Sankara</t>
        </is>
      </c>
      <c r="F190" t="inlineStr">
        <is>
          <t>10278</t>
        </is>
      </c>
      <c r="G190" t="inlineStr">
        <is>
          <t>Vis à bois 4x40 (boîte) — réf 1</t>
        </is>
      </c>
      <c r="H190" t="inlineStr">
        <is>
          <t>Quincaillerie</t>
        </is>
      </c>
      <c r="I190" t="inlineStr">
        <is>
          <t>3</t>
        </is>
      </c>
      <c r="J190" t="inlineStr">
        <is>
          <t>1775</t>
        </is>
      </c>
      <c r="K190" t="inlineStr">
        <is>
          <t>0.03</t>
        </is>
      </c>
      <c r="L190" t="inlineStr">
        <is>
          <t>5165</t>
        </is>
      </c>
      <c r="M190" t="inlineStr">
        <is>
          <t>6 095</t>
        </is>
      </c>
    </row>
    <row r="191">
      <c r="A191" t="inlineStr">
        <is>
          <t>T05-250502-090568</t>
        </is>
      </c>
      <c r="B191" t="inlineStr">
        <is>
          <t>2025-05-02</t>
        </is>
      </c>
      <c r="C191" t="inlineStr">
        <is>
          <t>10:16</t>
        </is>
      </c>
      <c r="D191" t="inlineStr">
        <is>
          <t>Magasin 5 — Kaya Marché</t>
        </is>
      </c>
      <c r="E191" t="inlineStr">
        <is>
          <t>Adama Bationo</t>
        </is>
      </c>
      <c r="F191" t="inlineStr">
        <is>
          <t>9985</t>
        </is>
      </c>
      <c r="G191" t="inlineStr">
        <is>
          <t>Lampe solaire murale — réf 1</t>
        </is>
      </c>
      <c r="H191" t="inlineStr">
        <is>
          <t>Electricité</t>
        </is>
      </c>
      <c r="I191" t="inlineStr">
        <is>
          <t>4</t>
        </is>
      </c>
      <c r="J191" t="inlineStr">
        <is>
          <t>10450</t>
        </is>
      </c>
      <c r="K191" t="inlineStr">
        <is>
          <t>0.0</t>
        </is>
      </c>
      <c r="L191" t="inlineStr">
        <is>
          <t>41800</t>
        </is>
      </c>
      <c r="M191" t="inlineStr">
        <is>
          <t>49 324</t>
        </is>
      </c>
    </row>
    <row r="192">
      <c r="A192" t="inlineStr">
        <is>
          <t>T05-250502-090568</t>
        </is>
      </c>
      <c r="B192" t="inlineStr">
        <is>
          <t>2025-05-02</t>
        </is>
      </c>
      <c r="C192" t="inlineStr">
        <is>
          <t>15:50</t>
        </is>
      </c>
      <c r="D192" t="inlineStr">
        <is>
          <t>Magasin 5 — Kaya Marché</t>
        </is>
      </c>
      <c r="E192" t="inlineStr">
        <is>
          <t>Boureima Ouédraogo</t>
        </is>
      </c>
      <c r="F192" t="inlineStr">
        <is>
          <t>22573</t>
        </is>
      </c>
      <c r="G192" t="inlineStr">
        <is>
          <t>Peinture acrylique blanc 10 L — réf 2</t>
        </is>
      </c>
      <c r="H192" t="inlineStr">
        <is>
          <t>Peinture</t>
        </is>
      </c>
      <c r="I192" t="inlineStr">
        <is>
          <t>7</t>
        </is>
      </c>
      <c r="J192" t="inlineStr">
        <is>
          <t>6875</t>
        </is>
      </c>
      <c r="K192" t="inlineStr">
        <is>
          <t>0.0</t>
        </is>
      </c>
      <c r="L192" t="inlineStr">
        <is>
          <t>48125</t>
        </is>
      </c>
      <c r="M192" t="inlineStr">
        <is>
          <t>56 787</t>
        </is>
      </c>
    </row>
    <row r="193">
      <c r="A193" t="inlineStr">
        <is>
          <t>T05-250502-090568</t>
        </is>
      </c>
      <c r="B193" t="inlineStr">
        <is>
          <t>2025-05-02</t>
        </is>
      </c>
      <c r="C193" t="inlineStr">
        <is>
          <t>10:14</t>
        </is>
      </c>
      <c r="D193" t="inlineStr">
        <is>
          <t>Magasin 5 — Kaya Marché</t>
        </is>
      </c>
      <c r="E193" t="inlineStr">
        <is>
          <t>Salamatu Sankara</t>
        </is>
      </c>
      <c r="F193" t="inlineStr">
        <is>
          <t>15664</t>
        </is>
      </c>
      <c r="G193" t="inlineStr">
        <is>
          <t>Plaque de plâtre 13 mm — réf 2</t>
        </is>
      </c>
      <c r="H193" t="inlineStr">
        <is>
          <t>Bois &amp; panneaux</t>
        </is>
      </c>
      <c r="I193" t="inlineStr">
        <is>
          <t>4</t>
        </is>
      </c>
      <c r="J193" t="inlineStr">
        <is>
          <t>13675</t>
        </is>
      </c>
      <c r="K193" t="inlineStr">
        <is>
          <t>0.04</t>
        </is>
      </c>
      <c r="L193" t="inlineStr">
        <is>
          <t>52512</t>
        </is>
      </c>
      <c r="M193" t="inlineStr">
        <is>
          <t>61 964</t>
        </is>
      </c>
    </row>
    <row r="194">
      <c r="A194" t="inlineStr">
        <is>
          <t>T05-250502-090569</t>
        </is>
      </c>
      <c r="B194" t="inlineStr">
        <is>
          <t>2025-05-02</t>
        </is>
      </c>
      <c r="C194" t="inlineStr">
        <is>
          <t>07:01</t>
        </is>
      </c>
      <c r="D194" t="inlineStr">
        <is>
          <t>Magasin 5 — Kaya Marché</t>
        </is>
      </c>
      <c r="E194" t="inlineStr">
        <is>
          <t>Adama Bationo</t>
        </is>
      </c>
      <c r="F194" t="inlineStr">
        <is>
          <t>14949</t>
        </is>
      </c>
      <c r="G194" t="inlineStr">
        <is>
          <t>Plâtre de construction 25 kg — réf 2</t>
        </is>
      </c>
      <c r="H194" t="inlineStr">
        <is>
          <t>Matériaux</t>
        </is>
      </c>
      <c r="I194" t="inlineStr">
        <is>
          <t>2</t>
        </is>
      </c>
      <c r="J194" t="inlineStr">
        <is>
          <t>6100</t>
        </is>
      </c>
      <c r="K194" t="inlineStr">
        <is>
          <t>0.11</t>
        </is>
      </c>
      <c r="L194" t="inlineStr">
        <is>
          <t>10858</t>
        </is>
      </c>
      <c r="M194" t="inlineStr">
        <is>
          <t>12 812</t>
        </is>
      </c>
    </row>
    <row r="195">
      <c r="A195" t="inlineStr">
        <is>
          <t>T05-250502-090569</t>
        </is>
      </c>
      <c r="B195" t="inlineStr">
        <is>
          <t>2025-05-02</t>
        </is>
      </c>
      <c r="C195" t="inlineStr">
        <is>
          <t>13:41</t>
        </is>
      </c>
      <c r="D195" t="inlineStr">
        <is>
          <t>Magasin 5 — Kaya Marché</t>
        </is>
      </c>
      <c r="E195" t="inlineStr">
        <is>
          <t>Boureima Ouédraogo</t>
        </is>
      </c>
      <c r="F195" t="inlineStr">
        <is>
          <t>11018</t>
        </is>
      </c>
      <c r="G195" t="inlineStr">
        <is>
          <t>Carreau de pavement 40x40 — réf 1</t>
        </is>
      </c>
      <c r="H195" t="inlineStr">
        <is>
          <t>Matériaux</t>
        </is>
      </c>
      <c r="I195" t="inlineStr">
        <is>
          <t>3</t>
        </is>
      </c>
      <c r="J195" t="inlineStr">
        <is>
          <t>1025</t>
        </is>
      </c>
      <c r="K195" t="inlineStr">
        <is>
          <t>0.0</t>
        </is>
      </c>
      <c r="L195" t="inlineStr">
        <is>
          <t>3075</t>
        </is>
      </c>
      <c r="M195" t="inlineStr">
        <is>
          <t>3 629</t>
        </is>
      </c>
    </row>
    <row r="196">
      <c r="A196" t="inlineStr">
        <is>
          <t>T05-250502-090569</t>
        </is>
      </c>
      <c r="B196" t="inlineStr">
        <is>
          <t>2025-05-02</t>
        </is>
      </c>
      <c r="C196" t="inlineStr">
        <is>
          <t>18:49</t>
        </is>
      </c>
      <c r="D196" t="inlineStr">
        <is>
          <t>Magasin 5 — Kaya Marché</t>
        </is>
      </c>
      <c r="E196" t="inlineStr">
        <is>
          <t>Salamatu Sankara</t>
        </is>
      </c>
      <c r="F196" t="inlineStr">
        <is>
          <t>7139</t>
        </is>
      </c>
      <c r="G196" t="inlineStr">
        <is>
          <t>Coude PVC 90° 100 — réf 1</t>
        </is>
      </c>
      <c r="H196" t="inlineStr">
        <is>
          <t>Plomberie</t>
        </is>
      </c>
      <c r="I196" t="inlineStr">
        <is>
          <t>9</t>
        </is>
      </c>
      <c r="J196" t="inlineStr">
        <is>
          <t>3925</t>
        </is>
      </c>
      <c r="K196" t="inlineStr">
        <is>
          <t>0.0</t>
        </is>
      </c>
      <c r="L196" t="inlineStr">
        <is>
          <t>35325</t>
        </is>
      </c>
      <c r="M196" t="inlineStr">
        <is>
          <t>41 683</t>
        </is>
      </c>
    </row>
    <row r="197">
      <c r="A197" t="inlineStr">
        <is>
          <t>T05-250503-090686</t>
        </is>
      </c>
      <c r="B197" t="inlineStr">
        <is>
          <t>2025-05-03</t>
        </is>
      </c>
      <c r="C197" t="inlineStr">
        <is>
          <t>17:22</t>
        </is>
      </c>
      <c r="D197" t="inlineStr">
        <is>
          <t>Magasin 5 — Kaya Marché</t>
        </is>
      </c>
      <c r="E197" t="inlineStr">
        <is>
          <t>Boureima Ouédraogo</t>
        </is>
      </c>
      <c r="F197" t="inlineStr">
        <is>
          <t>2275</t>
        </is>
      </c>
      <c r="G197" t="inlineStr">
        <is>
          <t>Clé plate 13 — réf 1</t>
        </is>
      </c>
      <c r="H197" t="inlineStr">
        <is>
          <t>Quincaillerie</t>
        </is>
      </c>
      <c r="I197" t="inlineStr">
        <is>
          <t>7</t>
        </is>
      </c>
      <c r="J197" t="inlineStr">
        <is>
          <t>9775</t>
        </is>
      </c>
      <c r="K197" t="inlineStr">
        <is>
          <t>0.0</t>
        </is>
      </c>
      <c r="L197" t="inlineStr">
        <is>
          <t>68425</t>
        </is>
      </c>
      <c r="M197" t="inlineStr">
        <is>
          <t>80 741</t>
        </is>
      </c>
    </row>
    <row r="198">
      <c r="A198" t="inlineStr">
        <is>
          <t>T05-250503-090686</t>
        </is>
      </c>
      <c r="B198" t="inlineStr">
        <is>
          <t>2025-05-03</t>
        </is>
      </c>
      <c r="C198" t="inlineStr">
        <is>
          <t>08:18</t>
        </is>
      </c>
      <c r="D198" t="inlineStr">
        <is>
          <t>Magasin 5 — Kaya Marché</t>
        </is>
      </c>
      <c r="E198" t="inlineStr">
        <is>
          <t>Boureima Ouédraogo</t>
        </is>
      </c>
      <c r="F198" t="inlineStr">
        <is>
          <t>9557</t>
        </is>
      </c>
      <c r="G198" t="inlineStr">
        <is>
          <t>Bêche à manche bois — réf 2</t>
        </is>
      </c>
      <c r="H198" t="inlineStr">
        <is>
          <t>Consommables</t>
        </is>
      </c>
      <c r="I198" t="inlineStr">
        <is>
          <t>1</t>
        </is>
      </c>
      <c r="J198" t="inlineStr">
        <is>
          <t>5775</t>
        </is>
      </c>
      <c r="K198" t="inlineStr">
        <is>
          <t>0.0</t>
        </is>
      </c>
      <c r="L198" t="inlineStr">
        <is>
          <t>5775</t>
        </is>
      </c>
      <c r="M198" t="inlineStr">
        <is>
          <t>6 815</t>
        </is>
      </c>
    </row>
    <row r="199">
      <c r="A199" t="inlineStr">
        <is>
          <t>T05-250503-090687</t>
        </is>
      </c>
      <c r="B199" t="inlineStr">
        <is>
          <t>03/05/2025</t>
        </is>
      </c>
      <c r="C199" t="inlineStr">
        <is>
          <t>08:19</t>
        </is>
      </c>
      <c r="D199" t="inlineStr">
        <is>
          <t>Magasin 5 — Kaya Marché</t>
        </is>
      </c>
      <c r="E199" t="inlineStr">
        <is>
          <t>Moussa Ilboudo</t>
        </is>
      </c>
      <c r="F199" t="inlineStr">
        <is>
          <t>21383</t>
        </is>
      </c>
      <c r="G199" t="inlineStr">
        <is>
          <t>Chaux aérienne 25 kg — réf 2</t>
        </is>
      </c>
      <c r="H199" t="inlineStr">
        <is>
          <t>Matériaux</t>
        </is>
      </c>
      <c r="I199" t="inlineStr">
        <is>
          <t>3</t>
        </is>
      </c>
      <c r="J199" t="inlineStr">
        <is>
          <t>8125</t>
        </is>
      </c>
      <c r="K199" t="inlineStr">
        <is>
          <t>0.0</t>
        </is>
      </c>
      <c r="L199" t="inlineStr">
        <is>
          <t>24375</t>
        </is>
      </c>
      <c r="M199" t="inlineStr">
        <is>
          <t>28 763</t>
        </is>
      </c>
    </row>
    <row r="200">
      <c r="A200" t="inlineStr">
        <is>
          <t>T05-250503-090687</t>
        </is>
      </c>
      <c r="B200" t="inlineStr">
        <is>
          <t>2025-05-03</t>
        </is>
      </c>
      <c r="C200" t="inlineStr">
        <is>
          <t>16:24</t>
        </is>
      </c>
      <c r="D200" t="inlineStr">
        <is>
          <t>Magasin 5 — Kaya Marché</t>
        </is>
      </c>
      <c r="E200" t="inlineStr">
        <is>
          <t>Adama Bationo</t>
        </is>
      </c>
      <c r="F200" t="inlineStr">
        <is>
          <t>0</t>
        </is>
      </c>
      <c r="G200" t="inlineStr">
        <is>
          <t>Meuleuse 125 mm — réf 1</t>
        </is>
      </c>
      <c r="H200" t="inlineStr">
        <is>
          <t>Quincaillerie</t>
        </is>
      </c>
      <c r="I200" t="inlineStr">
        <is>
          <t>7</t>
        </is>
      </c>
      <c r="J200" t="inlineStr">
        <is>
          <t>7325</t>
        </is>
      </c>
      <c r="K200" t="inlineStr">
        <is>
          <t>0.0</t>
        </is>
      </c>
      <c r="L200" t="inlineStr">
        <is>
          <t>51275</t>
        </is>
      </c>
      <c r="M200" t="inlineStr">
        <is>
          <t>60 505</t>
        </is>
      </c>
    </row>
    <row r="201">
      <c r="A201" t="inlineStr">
        <is>
          <t>T05-250503-090688</t>
        </is>
      </c>
      <c r="B201" t="inlineStr">
        <is>
          <t>2025-05-03</t>
        </is>
      </c>
      <c r="C201" t="inlineStr">
        <is>
          <t>12:32</t>
        </is>
      </c>
      <c r="D201" t="inlineStr">
        <is>
          <t>Magasin 5 — Kaya Marché</t>
        </is>
      </c>
      <c r="E201" t="inlineStr">
        <is>
          <t>Adama Bationo</t>
        </is>
      </c>
      <c r="F201" t="inlineStr">
        <is>
          <t>10137</t>
        </is>
      </c>
      <c r="G201" t="inlineStr">
        <is>
          <t>Enduit de rebouchage 5 kg — réf 2</t>
        </is>
      </c>
      <c r="H201" t="inlineStr">
        <is>
          <t>Peinture</t>
        </is>
      </c>
      <c r="I201" t="inlineStr">
        <is>
          <t>17</t>
        </is>
      </c>
      <c r="J201" t="inlineStr">
        <is>
          <t>4925</t>
        </is>
      </c>
      <c r="K201" t="inlineStr">
        <is>
          <t>0.0</t>
        </is>
      </c>
      <c r="L201" t="inlineStr">
        <is>
          <t>83725</t>
        </is>
      </c>
      <c r="M201" t="inlineStr">
        <is>
          <t>98 795</t>
        </is>
      </c>
    </row>
    <row r="202">
      <c r="A202" t="inlineStr">
        <is>
          <t>T05-250503-090688</t>
        </is>
      </c>
      <c r="B202" t="inlineStr">
        <is>
          <t>2025-05-03</t>
        </is>
      </c>
      <c r="C202" t="inlineStr">
        <is>
          <t>16:51</t>
        </is>
      </c>
      <c r="D202" t="inlineStr">
        <is>
          <t>Magasin 5 — Kaya Marché</t>
        </is>
      </c>
      <c r="E202" t="inlineStr">
        <is>
          <t>Moussa Ilboudo</t>
        </is>
      </c>
      <c r="F202" t="inlineStr">
        <is>
          <t>15857</t>
        </is>
      </c>
      <c r="G202" t="inlineStr">
        <is>
          <t>Enduit de lissage 20 kg — réf 1</t>
        </is>
      </c>
      <c r="H202" t="inlineStr">
        <is>
          <t>Matériaux</t>
        </is>
      </c>
      <c r="I202" t="inlineStr">
        <is>
          <t>8</t>
        </is>
      </c>
      <c r="J202" t="inlineStr">
        <is>
          <t>7325</t>
        </is>
      </c>
      <c r="K202" t="inlineStr">
        <is>
          <t>0.04</t>
        </is>
      </c>
      <c r="L202" t="inlineStr">
        <is>
          <t>56256</t>
        </is>
      </c>
      <c r="M202" t="inlineStr">
        <is>
          <t>66 382</t>
        </is>
      </c>
    </row>
    <row r="203">
      <c r="A203" t="inlineStr">
        <is>
          <t>T05-250503-090689</t>
        </is>
      </c>
      <c r="B203" t="inlineStr">
        <is>
          <t>2025-05-03</t>
        </is>
      </c>
      <c r="C203" t="inlineStr">
        <is>
          <t>13:54</t>
        </is>
      </c>
      <c r="D203" t="inlineStr">
        <is>
          <t>Magasin 5 — Kaya Marché</t>
        </is>
      </c>
      <c r="E203" t="inlineStr">
        <is>
          <t>Moussa Ilboudo</t>
        </is>
      </c>
      <c r="F203" t="inlineStr">
        <is>
          <t>14974</t>
        </is>
      </c>
      <c r="G203" t="inlineStr">
        <is>
          <t>Brique de terre cuite — réf 2</t>
        </is>
      </c>
      <c r="H203" t="inlineStr">
        <is>
          <t>Matériaux</t>
        </is>
      </c>
      <c r="I203" t="inlineStr">
        <is>
          <t>4</t>
        </is>
      </c>
      <c r="J203" t="inlineStr">
        <is>
          <t>700</t>
        </is>
      </c>
      <c r="K203" t="inlineStr">
        <is>
          <t>0.11</t>
        </is>
      </c>
      <c r="L203" t="inlineStr">
        <is>
          <t>2492</t>
        </is>
      </c>
      <c r="M203" t="inlineStr">
        <is>
          <t>2 941</t>
        </is>
      </c>
    </row>
    <row r="204">
      <c r="A204" t="inlineStr">
        <is>
          <t>T05-250503-090689</t>
        </is>
      </c>
      <c r="B204" t="inlineStr">
        <is>
          <t>2025-05-03</t>
        </is>
      </c>
      <c r="C204" t="inlineStr">
        <is>
          <t>18:02</t>
        </is>
      </c>
      <c r="D204" t="inlineStr">
        <is>
          <t>Magasin 5 — Kaya Marché</t>
        </is>
      </c>
      <c r="E204" t="inlineStr">
        <is>
          <t>Moussa Ilboudo</t>
        </is>
      </c>
      <c r="F204" t="inlineStr">
        <is>
          <t>11760</t>
        </is>
      </c>
      <c r="G204" t="inlineStr">
        <is>
          <t>Plaque de plâtre 13 mm — réf 2</t>
        </is>
      </c>
      <c r="H204" t="inlineStr">
        <is>
          <t>Bois &amp; panneaux</t>
        </is>
      </c>
      <c r="I204" t="inlineStr">
        <is>
          <t>1</t>
        </is>
      </c>
      <c r="J204" t="inlineStr">
        <is>
          <t>13825</t>
        </is>
      </c>
      <c r="K204" t="inlineStr">
        <is>
          <t>0.04</t>
        </is>
      </c>
      <c r="L204" t="inlineStr">
        <is>
          <t>13272</t>
        </is>
      </c>
      <c r="M204" t="inlineStr">
        <is>
          <t>15 661</t>
        </is>
      </c>
    </row>
    <row r="205">
      <c r="A205" t="inlineStr">
        <is>
          <t>T05-250601-093699</t>
        </is>
      </c>
      <c r="B205" t="inlineStr">
        <is>
          <t>2025-06-01</t>
        </is>
      </c>
      <c r="C205" t="inlineStr">
        <is>
          <t>09:27</t>
        </is>
      </c>
      <c r="D205" t="inlineStr">
        <is>
          <t>Magasin 5 — Kaya Marché</t>
        </is>
      </c>
      <c r="E205" t="inlineStr">
        <is>
          <t>Adama Bationo</t>
        </is>
      </c>
      <c r="F205" t="inlineStr">
        <is>
          <t>19747</t>
        </is>
      </c>
      <c r="G205" t="inlineStr">
        <is>
          <t>Tout-venant (m3) — réf 1</t>
        </is>
      </c>
      <c r="H205" t="inlineStr">
        <is>
          <t>Matériaux</t>
        </is>
      </c>
      <c r="I205" t="inlineStr">
        <is>
          <t>4</t>
        </is>
      </c>
      <c r="J205" t="inlineStr">
        <is>
          <t>16375</t>
        </is>
      </c>
      <c r="K205" t="inlineStr">
        <is>
          <t>0.08</t>
        </is>
      </c>
      <c r="L205" t="inlineStr">
        <is>
          <t>60260</t>
        </is>
      </c>
      <c r="M205" t="inlineStr">
        <is>
          <t>71 107</t>
        </is>
      </c>
    </row>
    <row r="206">
      <c r="A206" t="inlineStr">
        <is>
          <t>T05-250601-093700</t>
        </is>
      </c>
      <c r="B206" t="inlineStr">
        <is>
          <t>2025-06-01</t>
        </is>
      </c>
      <c r="C206" t="inlineStr">
        <is>
          <t>09:09</t>
        </is>
      </c>
      <c r="D206" t="inlineStr">
        <is>
          <t>Magasin 5 — Kaya Marché</t>
        </is>
      </c>
      <c r="E206" t="inlineStr">
        <is>
          <t>Boureima Ouédraogo</t>
        </is>
      </c>
      <c r="F206" t="inlineStr">
        <is>
          <t>5122</t>
        </is>
      </c>
      <c r="G206" t="inlineStr">
        <is>
          <t>Bêche à manche bois — réf 2</t>
        </is>
      </c>
      <c r="H206" t="inlineStr">
        <is>
          <t>Consommables</t>
        </is>
      </c>
      <c r="I206" t="inlineStr">
        <is>
          <t>6</t>
        </is>
      </c>
      <c r="J206" t="inlineStr">
        <is>
          <t>5825</t>
        </is>
      </c>
      <c r="K206" t="inlineStr">
        <is>
          <t>0.04</t>
        </is>
      </c>
      <c r="L206" t="inlineStr">
        <is>
          <t>33552</t>
        </is>
      </c>
      <c r="M206" t="inlineStr">
        <is>
          <t>39 591</t>
        </is>
      </c>
    </row>
    <row r="207">
      <c r="A207" t="inlineStr">
        <is>
          <t>T05-250601-093701</t>
        </is>
      </c>
      <c r="B207" t="inlineStr">
        <is>
          <t>2025-06-01</t>
        </is>
      </c>
      <c r="C207" t="inlineStr">
        <is>
          <t>07:51</t>
        </is>
      </c>
      <c r="D207" t="inlineStr">
        <is>
          <t>Magasin 5 — Kaya Marché</t>
        </is>
      </c>
      <c r="E207" t="inlineStr">
        <is>
          <t>Salamatu Sankara</t>
        </is>
      </c>
      <c r="F207" t="inlineStr">
        <is>
          <t>12483</t>
        </is>
      </c>
      <c r="G207" t="inlineStr">
        <is>
          <t>Tube PVC évacuation 100 mm (ml) — réf 1</t>
        </is>
      </c>
      <c r="H207" t="inlineStr">
        <is>
          <t>Plomberie</t>
        </is>
      </c>
      <c r="I207" t="inlineStr">
        <is>
          <t>15</t>
        </is>
      </c>
      <c r="J207" t="inlineStr">
        <is>
          <t>3375</t>
        </is>
      </c>
      <c r="K207" t="inlineStr">
        <is>
          <t>0.0</t>
        </is>
      </c>
      <c r="L207" t="inlineStr">
        <is>
          <t>50625</t>
        </is>
      </c>
      <c r="M207" t="inlineStr">
        <is>
          <t>59 737</t>
        </is>
      </c>
    </row>
    <row r="208">
      <c r="A208" t="inlineStr">
        <is>
          <t>T05-250601-093702</t>
        </is>
      </c>
      <c r="B208" t="inlineStr">
        <is>
          <t>01/06/2025</t>
        </is>
      </c>
      <c r="C208" t="inlineStr">
        <is>
          <t>09:09</t>
        </is>
      </c>
      <c r="D208" t="inlineStr">
        <is>
          <t>Magasin 5 — Kaya Marché</t>
        </is>
      </c>
      <c r="E208" t="inlineStr">
        <is>
          <t>Salamatu Sankara</t>
        </is>
      </c>
      <c r="F208" t="inlineStr">
        <is>
          <t>22782</t>
        </is>
      </c>
      <c r="G208" t="inlineStr">
        <is>
          <t>Panneau solaire 100 W — réf 1</t>
        </is>
      </c>
      <c r="H208" t="inlineStr">
        <is>
          <t>Electricité</t>
        </is>
      </c>
      <c r="I208" t="inlineStr">
        <is>
          <t>2</t>
        </is>
      </c>
      <c r="J208" t="inlineStr">
        <is>
          <t>9425</t>
        </is>
      </c>
      <c r="K208" t="inlineStr">
        <is>
          <t>0.08</t>
        </is>
      </c>
      <c r="L208" t="inlineStr">
        <is>
          <t>17342</t>
        </is>
      </c>
      <c r="M208" t="inlineStr">
        <is>
          <t>20 464</t>
        </is>
      </c>
    </row>
    <row r="209">
      <c r="A209" t="inlineStr">
        <is>
          <t>T05-250601-093703</t>
        </is>
      </c>
      <c r="B209" t="inlineStr">
        <is>
          <t>2025-06-01</t>
        </is>
      </c>
      <c r="C209" t="inlineStr">
        <is>
          <t>18:57</t>
        </is>
      </c>
      <c r="D209" t="inlineStr">
        <is>
          <t>Magasin 5 — Kaya Marché</t>
        </is>
      </c>
      <c r="E209" t="inlineStr">
        <is>
          <t>Moussa Ilboudo</t>
        </is>
      </c>
      <c r="F209" t="inlineStr">
        <is>
          <t>13205</t>
        </is>
      </c>
      <c r="G209" t="inlineStr">
        <is>
          <t>Échelle aluminium 4 marches — réf 2</t>
        </is>
      </c>
      <c r="H209" t="inlineStr">
        <is>
          <t>Consommables</t>
        </is>
      </c>
      <c r="I209" t="inlineStr">
        <is>
          <t>6</t>
        </is>
      </c>
      <c r="J209" t="inlineStr">
        <is>
          <t>8550</t>
        </is>
      </c>
      <c r="K209" t="inlineStr">
        <is>
          <t>0.0</t>
        </is>
      </c>
      <c r="L209" t="inlineStr">
        <is>
          <t>51300</t>
        </is>
      </c>
      <c r="M209" t="inlineStr">
        <is>
          <t>60 534</t>
        </is>
      </c>
    </row>
    <row r="210">
      <c r="A210" t="inlineStr">
        <is>
          <t>T05-250602-093766</t>
        </is>
      </c>
      <c r="B210" t="inlineStr">
        <is>
          <t>2025-06-02</t>
        </is>
      </c>
      <c r="C210" t="inlineStr">
        <is>
          <t>15:09</t>
        </is>
      </c>
      <c r="D210" t="inlineStr">
        <is>
          <t>Magasin 5 — Kaya Marché</t>
        </is>
      </c>
      <c r="E210" t="inlineStr">
        <is>
          <t>Boureima Ouédraogo</t>
        </is>
      </c>
      <c r="F210" t="inlineStr">
        <is>
          <t>0</t>
        </is>
      </c>
      <c r="G210" t="inlineStr">
        <is>
          <t>Tube PVC évacuation 100 mm (ml) — réf 1</t>
        </is>
      </c>
      <c r="H210" t="inlineStr">
        <is>
          <t>Plomberie</t>
        </is>
      </c>
      <c r="I210" t="inlineStr">
        <is>
          <t>2</t>
        </is>
      </c>
      <c r="J210" t="inlineStr">
        <is>
          <t>3300</t>
        </is>
      </c>
      <c r="K210" t="inlineStr">
        <is>
          <t>0.0</t>
        </is>
      </c>
      <c r="L210" t="inlineStr">
        <is>
          <t>6600</t>
        </is>
      </c>
      <c r="M210" t="inlineStr">
        <is>
          <t>7 788</t>
        </is>
      </c>
    </row>
    <row r="211">
      <c r="A211" t="inlineStr">
        <is>
          <t>T05-250602-093766</t>
        </is>
      </c>
      <c r="B211" t="inlineStr">
        <is>
          <t>2025-06-02</t>
        </is>
      </c>
      <c r="C211" t="inlineStr">
        <is>
          <t>09:23</t>
        </is>
      </c>
      <c r="D211" t="inlineStr">
        <is>
          <t>Magasin 5 — Kaya Marché</t>
        </is>
      </c>
      <c r="E211" t="inlineStr">
        <is>
          <t>Salamatu Sankara</t>
        </is>
      </c>
      <c r="F211" t="inlineStr">
        <is>
          <t>0</t>
        </is>
      </c>
      <c r="G211" t="inlineStr">
        <is>
          <t>Scie égoïne 500 mm — réf 2</t>
        </is>
      </c>
      <c r="H211" t="inlineStr">
        <is>
          <t>Quincaillerie</t>
        </is>
      </c>
      <c r="I211" t="inlineStr">
        <is>
          <t>8</t>
        </is>
      </c>
      <c r="J211" t="inlineStr">
        <is>
          <t>9975</t>
        </is>
      </c>
      <c r="K211" t="inlineStr">
        <is>
          <t>0.0</t>
        </is>
      </c>
      <c r="L211" t="inlineStr">
        <is>
          <t>79800</t>
        </is>
      </c>
      <c r="M211" t="inlineStr">
        <is>
          <t>94 164</t>
        </is>
      </c>
    </row>
    <row r="212">
      <c r="A212" t="inlineStr">
        <is>
          <t>T05-250602-093766</t>
        </is>
      </c>
      <c r="B212" t="inlineStr">
        <is>
          <t>2025-06-02</t>
        </is>
      </c>
      <c r="C212" t="inlineStr">
        <is>
          <t>07:59</t>
        </is>
      </c>
      <c r="D212" t="inlineStr">
        <is>
          <t>Magasin 5 — Kaya Marché</t>
        </is>
      </c>
      <c r="E212" t="inlineStr">
        <is>
          <t>Moussa Ilboudo</t>
        </is>
      </c>
      <c r="F212" t="inlineStr">
        <is>
          <t>11411</t>
        </is>
      </c>
      <c r="G212" t="inlineStr">
        <is>
          <t>Ciment CPJ45 50 kg — réf 2</t>
        </is>
      </c>
      <c r="H212" t="inlineStr">
        <is>
          <t>Matériaux</t>
        </is>
      </c>
      <c r="I212" t="inlineStr">
        <is>
          <t>16</t>
        </is>
      </c>
      <c r="J212" t="inlineStr">
        <is>
          <t>6400</t>
        </is>
      </c>
      <c r="K212" t="inlineStr">
        <is>
          <t>0.0</t>
        </is>
      </c>
      <c r="L212" t="inlineStr">
        <is>
          <t>102400</t>
        </is>
      </c>
      <c r="M212" t="inlineStr">
        <is>
          <t>120 832</t>
        </is>
      </c>
    </row>
    <row r="213">
      <c r="A213" t="inlineStr">
        <is>
          <t>T05-250602-093767</t>
        </is>
      </c>
      <c r="B213" t="inlineStr">
        <is>
          <t>2025-06-02</t>
        </is>
      </c>
      <c r="C213" t="inlineStr">
        <is>
          <t>17:01</t>
        </is>
      </c>
      <c r="D213" t="inlineStr">
        <is>
          <t>Magasin 5 — Kaya Marché</t>
        </is>
      </c>
      <c r="E213" t="inlineStr">
        <is>
          <t>Salamatu Sankara</t>
        </is>
      </c>
      <c r="F213" t="inlineStr">
        <is>
          <t>6472</t>
        </is>
      </c>
      <c r="G213" t="inlineStr">
        <is>
          <t>Té fonte 100 — réf 1</t>
        </is>
      </c>
      <c r="H213" t="inlineStr">
        <is>
          <t>Plomberie</t>
        </is>
      </c>
      <c r="I213" t="inlineStr">
        <is>
          <t>4</t>
        </is>
      </c>
      <c r="J213" t="inlineStr">
        <is>
          <t>3175</t>
        </is>
      </c>
      <c r="K213" t="inlineStr">
        <is>
          <t>0.04</t>
        </is>
      </c>
      <c r="L213" t="inlineStr">
        <is>
          <t>12192</t>
        </is>
      </c>
      <c r="M213" t="inlineStr">
        <is>
          <t>14 387</t>
        </is>
      </c>
    </row>
    <row r="214">
      <c r="A214" t="inlineStr">
        <is>
          <t>T05-250602-093767</t>
        </is>
      </c>
      <c r="B214" t="inlineStr">
        <is>
          <t>2025-06-02</t>
        </is>
      </c>
      <c r="C214" t="inlineStr">
        <is>
          <t>14:36</t>
        </is>
      </c>
      <c r="D214" t="inlineStr">
        <is>
          <t>Magasin 5 — Kaya Marché</t>
        </is>
      </c>
      <c r="E214" t="inlineStr">
        <is>
          <t>Boureima Ouédraogo</t>
        </is>
      </c>
      <c r="F214" t="inlineStr">
        <is>
          <t>2778</t>
        </is>
      </c>
      <c r="G214" t="inlineStr">
        <is>
          <t>Douille E27 avec cordon — réf 2</t>
        </is>
      </c>
      <c r="H214" t="inlineStr">
        <is>
          <t>Electricité</t>
        </is>
      </c>
      <c r="I214" t="inlineStr">
        <is>
          <t>7</t>
        </is>
      </c>
      <c r="J214" t="inlineStr">
        <is>
          <t>18050</t>
        </is>
      </c>
      <c r="K214" t="inlineStr">
        <is>
          <t>0.0</t>
        </is>
      </c>
      <c r="L214" t="inlineStr">
        <is>
          <t>126350</t>
        </is>
      </c>
      <c r="M214" t="inlineStr">
        <is>
          <t>149 093</t>
        </is>
      </c>
    </row>
    <row r="215">
      <c r="A215" t="inlineStr">
        <is>
          <t>T05-250602-093767</t>
        </is>
      </c>
      <c r="B215" t="inlineStr">
        <is>
          <t>2025-06-02</t>
        </is>
      </c>
      <c r="C215" t="inlineStr">
        <is>
          <t>14:47</t>
        </is>
      </c>
      <c r="D215" t="inlineStr">
        <is>
          <t>Magasin 5 — Kaya Marché</t>
        </is>
      </c>
      <c r="E215" t="inlineStr">
        <is>
          <t>Boureima Ouédraogo</t>
        </is>
      </c>
      <c r="F215" t="inlineStr">
        <is>
          <t>1374</t>
        </is>
      </c>
      <c r="G215" t="inlineStr">
        <is>
          <t>Chasse d'eau 6 L — réf 2</t>
        </is>
      </c>
      <c r="H215" t="inlineStr">
        <is>
          <t>Plomberie</t>
        </is>
      </c>
      <c r="I215" t="inlineStr">
        <is>
          <t>2</t>
        </is>
      </c>
      <c r="J215" t="inlineStr">
        <is>
          <t>20425</t>
        </is>
      </c>
      <c r="K215" t="inlineStr">
        <is>
          <t>0.0</t>
        </is>
      </c>
      <c r="L215" t="inlineStr">
        <is>
          <t>40850</t>
        </is>
      </c>
      <c r="M215" t="inlineStr">
        <is>
          <t>48 203</t>
        </is>
      </c>
    </row>
    <row r="216">
      <c r="A216" t="inlineStr">
        <is>
          <t>T05-250602-093768</t>
        </is>
      </c>
      <c r="B216" t="inlineStr">
        <is>
          <t>2025-06-02</t>
        </is>
      </c>
      <c r="C216" t="inlineStr">
        <is>
          <t>07:37</t>
        </is>
      </c>
      <c r="D216" t="inlineStr">
        <is>
          <t>Magasin 5 — Kaya Marché</t>
        </is>
      </c>
      <c r="E216" t="inlineStr">
        <is>
          <t>Moussa Ilboudo</t>
        </is>
      </c>
      <c r="F216" t="inlineStr">
        <is>
          <t>17115</t>
        </is>
      </c>
      <c r="G216" t="inlineStr">
        <is>
          <t>Fer à béton 8 mm (barre) — réf 2</t>
        </is>
      </c>
      <c r="H216" t="inlineStr">
        <is>
          <t>Quincaillerie</t>
        </is>
      </c>
      <c r="I216" t="inlineStr">
        <is>
          <t>3</t>
        </is>
      </c>
      <c r="J216" t="inlineStr">
        <is>
          <t>2250</t>
        </is>
      </c>
      <c r="K216" t="inlineStr">
        <is>
          <t>0.04</t>
        </is>
      </c>
      <c r="L216" t="inlineStr">
        <is>
          <t>6480</t>
        </is>
      </c>
      <c r="M216" t="inlineStr">
        <is>
          <t>7 646</t>
        </is>
      </c>
    </row>
    <row r="217">
      <c r="A217" t="inlineStr">
        <is>
          <t>T05-250602-093768</t>
        </is>
      </c>
      <c r="B217" t="inlineStr">
        <is>
          <t>02/06/2025</t>
        </is>
      </c>
      <c r="C217" t="inlineStr">
        <is>
          <t>15:07</t>
        </is>
      </c>
      <c r="D217" t="inlineStr">
        <is>
          <t>Magasin 5 — Kaya Marché</t>
        </is>
      </c>
      <c r="E217" t="inlineStr">
        <is>
          <t>Adama Bationo</t>
        </is>
      </c>
      <c r="F217" t="inlineStr">
        <is>
          <t>21939</t>
        </is>
      </c>
      <c r="G217" t="inlineStr">
        <is>
          <t>Hourdis creux 12 — réf 2</t>
        </is>
      </c>
      <c r="H217" t="inlineStr">
        <is>
          <t>Matériaux</t>
        </is>
      </c>
      <c r="I217" t="inlineStr">
        <is>
          <t>7</t>
        </is>
      </c>
      <c r="J217" t="inlineStr">
        <is>
          <t>1500</t>
        </is>
      </c>
      <c r="K217" t="inlineStr">
        <is>
          <t>0.0</t>
        </is>
      </c>
      <c r="L217" t="inlineStr">
        <is>
          <t>10500</t>
        </is>
      </c>
      <c r="M217" t="inlineStr">
        <is>
          <t>12 390</t>
        </is>
      </c>
    </row>
    <row r="218">
      <c r="A218" t="inlineStr">
        <is>
          <t>T05-250602-093768</t>
        </is>
      </c>
      <c r="B218" t="inlineStr">
        <is>
          <t>2025-06-02</t>
        </is>
      </c>
      <c r="C218" t="inlineStr">
        <is>
          <t>18:14</t>
        </is>
      </c>
      <c r="D218" t="inlineStr">
        <is>
          <t>Magasin 5 — Kaya Marché</t>
        </is>
      </c>
      <c r="E218" t="inlineStr">
        <is>
          <t>Adama Bationo</t>
        </is>
      </c>
      <c r="F218" t="inlineStr">
        <is>
          <t>0</t>
        </is>
      </c>
      <c r="G218" t="inlineStr">
        <is>
          <t>Ampoule LED 9 W — réf 2</t>
        </is>
      </c>
      <c r="H218" t="inlineStr">
        <is>
          <t>Electricité</t>
        </is>
      </c>
      <c r="I218" t="inlineStr">
        <is>
          <t>2</t>
        </is>
      </c>
      <c r="J218" t="inlineStr">
        <is>
          <t>19050</t>
        </is>
      </c>
      <c r="K218" t="inlineStr">
        <is>
          <t>0.0</t>
        </is>
      </c>
      <c r="L218" t="inlineStr">
        <is>
          <t>38100</t>
        </is>
      </c>
      <c r="M218" t="inlineStr">
        <is>
          <t>44 958</t>
        </is>
      </c>
    </row>
    <row r="219">
      <c r="A219" t="inlineStr">
        <is>
          <t>T05-250602-093769</t>
        </is>
      </c>
      <c r="B219" t="inlineStr">
        <is>
          <t>02/06/2025</t>
        </is>
      </c>
      <c r="C219" t="inlineStr">
        <is>
          <t>16:25</t>
        </is>
      </c>
      <c r="D219" t="inlineStr">
        <is>
          <t>Magasin 5 — Kaya Marché</t>
        </is>
      </c>
      <c r="E219" t="inlineStr">
        <is>
          <t>Adama Bationo</t>
        </is>
      </c>
      <c r="F219" t="inlineStr">
        <is>
          <t>21805</t>
        </is>
      </c>
      <c r="G219" t="inlineStr">
        <is>
          <t>Ciment CPJ45 50 kg — réf 2</t>
        </is>
      </c>
      <c r="H219" t="inlineStr">
        <is>
          <t>Matériaux</t>
        </is>
      </c>
      <c r="I219" t="inlineStr">
        <is>
          <t>4</t>
        </is>
      </c>
      <c r="J219" t="inlineStr">
        <is>
          <t>6475</t>
        </is>
      </c>
      <c r="K219" t="inlineStr">
        <is>
          <t>0.08</t>
        </is>
      </c>
      <c r="L219" t="inlineStr">
        <is>
          <t>23828</t>
        </is>
      </c>
      <c r="M219" t="inlineStr">
        <is>
          <t>28 117</t>
        </is>
      </c>
    </row>
    <row r="220">
      <c r="A220" t="inlineStr">
        <is>
          <t>T05-250602-093769</t>
        </is>
      </c>
      <c r="B220" t="inlineStr">
        <is>
          <t>2025-06-02</t>
        </is>
      </c>
      <c r="C220" t="inlineStr">
        <is>
          <t>12:40</t>
        </is>
      </c>
      <c r="D220" t="inlineStr">
        <is>
          <t>Magasin 5 — Kaya Marché</t>
        </is>
      </c>
      <c r="E220" t="inlineStr">
        <is>
          <t>Boureima Ouédraogo</t>
        </is>
      </c>
      <c r="F220" t="inlineStr">
        <is>
          <t>0</t>
        </is>
      </c>
      <c r="G220" t="inlineStr">
        <is>
          <t>Ciment CPJ35 50 kg — réf 2</t>
        </is>
      </c>
      <c r="H220" t="inlineStr">
        <is>
          <t>Matériaux</t>
        </is>
      </c>
      <c r="I220" t="inlineStr">
        <is>
          <t>7</t>
        </is>
      </c>
      <c r="J220" t="inlineStr">
        <is>
          <t>4175</t>
        </is>
      </c>
      <c r="K220" t="inlineStr">
        <is>
          <t>0.0</t>
        </is>
      </c>
      <c r="L220" t="inlineStr">
        <is>
          <t>29225</t>
        </is>
      </c>
      <c r="M220" t="inlineStr">
        <is>
          <t>34 485</t>
        </is>
      </c>
    </row>
    <row r="221">
      <c r="A221" t="inlineStr">
        <is>
          <t>T05-250602-093769</t>
        </is>
      </c>
      <c r="B221" t="inlineStr">
        <is>
          <t>02/06/2025</t>
        </is>
      </c>
      <c r="C221" t="inlineStr">
        <is>
          <t>16:38</t>
        </is>
      </c>
      <c r="D221" t="inlineStr">
        <is>
          <t>Magasin 5 — Kaya Marché</t>
        </is>
      </c>
      <c r="E221" t="inlineStr">
        <is>
          <t>Salamatu Sankara</t>
        </is>
      </c>
      <c r="F221" t="inlineStr">
        <is>
          <t>15376</t>
        </is>
      </c>
      <c r="G221" t="inlineStr">
        <is>
          <t>Mètre ruban 5 m — réf 1</t>
        </is>
      </c>
      <c r="H221" t="inlineStr">
        <is>
          <t>Quincaillerie</t>
        </is>
      </c>
      <c r="I221" t="inlineStr">
        <is>
          <t>7</t>
        </is>
      </c>
      <c r="J221" t="inlineStr">
        <is>
          <t>7575</t>
        </is>
      </c>
      <c r="K221" t="inlineStr">
        <is>
          <t>0.0</t>
        </is>
      </c>
      <c r="L221" t="inlineStr">
        <is>
          <t>53025</t>
        </is>
      </c>
      <c r="M221" t="inlineStr">
        <is>
          <t>62 569</t>
        </is>
      </c>
    </row>
    <row r="222">
      <c r="A222" t="inlineStr">
        <is>
          <t>T05-250602-093770</t>
        </is>
      </c>
      <c r="B222" t="inlineStr">
        <is>
          <t>2025-06-02</t>
        </is>
      </c>
      <c r="C222" t="inlineStr">
        <is>
          <t>18:49</t>
        </is>
      </c>
      <c r="D222" t="inlineStr">
        <is>
          <t>Magasin 5 — Kaya Marché</t>
        </is>
      </c>
      <c r="E222" t="inlineStr">
        <is>
          <t>Boureima Ouédraogo</t>
        </is>
      </c>
      <c r="F222" t="inlineStr">
        <is>
          <t>5244</t>
        </is>
      </c>
      <c r="G222" t="inlineStr">
        <is>
          <t>Brique de terre cuite — réf 1</t>
        </is>
      </c>
      <c r="H222" t="inlineStr">
        <is>
          <t>Matériaux</t>
        </is>
      </c>
      <c r="I222" t="inlineStr">
        <is>
          <t>1</t>
        </is>
      </c>
      <c r="J222" t="inlineStr">
        <is>
          <t>1025</t>
        </is>
      </c>
      <c r="K222" t="inlineStr">
        <is>
          <t>0.0</t>
        </is>
      </c>
      <c r="L222" t="inlineStr">
        <is>
          <t>1025</t>
        </is>
      </c>
      <c r="M222" t="inlineStr">
        <is>
          <t>1 209</t>
        </is>
      </c>
    </row>
    <row r="223">
      <c r="A223" t="inlineStr">
        <is>
          <t>T05-250602-093770</t>
        </is>
      </c>
      <c r="B223" t="inlineStr">
        <is>
          <t>2025-06-02</t>
        </is>
      </c>
      <c r="C223" t="inlineStr">
        <is>
          <t>18:07</t>
        </is>
      </c>
      <c r="D223" t="inlineStr">
        <is>
          <t>Magasin 5 — Kaya Marché</t>
        </is>
      </c>
      <c r="E223" t="inlineStr">
        <is>
          <t>Moussa Ilboudo</t>
        </is>
      </c>
      <c r="F223" t="inlineStr">
        <is>
          <t>0</t>
        </is>
      </c>
      <c r="G223" t="inlineStr">
        <is>
          <t>Mètre ruban 5 m — réf 1</t>
        </is>
      </c>
      <c r="H223" t="inlineStr">
        <is>
          <t>Quincaillerie</t>
        </is>
      </c>
      <c r="I223" t="inlineStr">
        <is>
          <t>1</t>
        </is>
      </c>
      <c r="J223" t="inlineStr">
        <is>
          <t>7425</t>
        </is>
      </c>
      <c r="K223" t="inlineStr">
        <is>
          <t>0.0</t>
        </is>
      </c>
      <c r="L223" t="inlineStr">
        <is>
          <t>7425</t>
        </is>
      </c>
      <c r="M223" t="inlineStr">
        <is>
          <t>8 761</t>
        </is>
      </c>
    </row>
    <row r="224">
      <c r="A224" t="inlineStr">
        <is>
          <t>T05-250602-093770</t>
        </is>
      </c>
      <c r="B224" t="inlineStr">
        <is>
          <t>2025-06-02</t>
        </is>
      </c>
      <c r="C224" t="inlineStr">
        <is>
          <t>14:14</t>
        </is>
      </c>
      <c r="D224" t="inlineStr">
        <is>
          <t>Magasin 5 — Kaya Marché</t>
        </is>
      </c>
      <c r="E224" t="inlineStr">
        <is>
          <t>Adama Bationo</t>
        </is>
      </c>
      <c r="F224" t="inlineStr">
        <is>
          <t>21662</t>
        </is>
      </c>
      <c r="G224" t="inlineStr">
        <is>
          <t>Hourdis creux 12 — réf 1</t>
        </is>
      </c>
      <c r="H224" t="inlineStr">
        <is>
          <t>Matériaux</t>
        </is>
      </c>
      <c r="I224" t="inlineStr">
        <is>
          <t>3</t>
        </is>
      </c>
      <c r="J224" t="inlineStr">
        <is>
          <t>1050</t>
        </is>
      </c>
      <c r="K224" t="inlineStr">
        <is>
          <t>0.08</t>
        </is>
      </c>
      <c r="L224" t="inlineStr">
        <is>
          <t>2898</t>
        </is>
      </c>
      <c r="M224" t="inlineStr">
        <is>
          <t>3 420</t>
        </is>
      </c>
    </row>
    <row r="225">
      <c r="A225" t="inlineStr">
        <is>
          <t>T05-250602-093771</t>
        </is>
      </c>
      <c r="B225" t="inlineStr">
        <is>
          <t>2025-06-02</t>
        </is>
      </c>
      <c r="C225" t="inlineStr">
        <is>
          <t>10:31</t>
        </is>
      </c>
      <c r="D225" t="inlineStr">
        <is>
          <t>Magasin 5 — Kaya Marché</t>
        </is>
      </c>
      <c r="E225" t="inlineStr">
        <is>
          <t>Salamatu Sankara</t>
        </is>
      </c>
      <c r="F225" t="inlineStr">
        <is>
          <t>0</t>
        </is>
      </c>
      <c r="G225" t="inlineStr">
        <is>
          <t>Batterie à décharge lente 120 Ah — réf 1</t>
        </is>
      </c>
      <c r="H225" t="inlineStr">
        <is>
          <t>Electricité</t>
        </is>
      </c>
      <c r="I225" t="inlineStr">
        <is>
          <t>1</t>
        </is>
      </c>
      <c r="J225" t="inlineStr">
        <is>
          <t>17775</t>
        </is>
      </c>
      <c r="K225" t="inlineStr">
        <is>
          <t>0.0</t>
        </is>
      </c>
      <c r="L225" t="inlineStr">
        <is>
          <t>17775</t>
        </is>
      </c>
      <c r="M225" t="inlineStr">
        <is>
          <t>20 975</t>
        </is>
      </c>
    </row>
    <row r="226">
      <c r="A226" t="inlineStr">
        <is>
          <t>T05-250602-093771</t>
        </is>
      </c>
      <c r="B226" t="inlineStr">
        <is>
          <t>2025-06-02</t>
        </is>
      </c>
      <c r="C226" t="inlineStr">
        <is>
          <t>14:50</t>
        </is>
      </c>
      <c r="D226" t="inlineStr">
        <is>
          <t>Magasin 5 — Kaya Marché</t>
        </is>
      </c>
      <c r="E226" t="inlineStr">
        <is>
          <t>Salamatu Sankara</t>
        </is>
      </c>
      <c r="F226" t="inlineStr">
        <is>
          <t>14519</t>
        </is>
      </c>
      <c r="G226" t="inlineStr">
        <is>
          <t>Disjoncteur différentiel 30 mA — réf 2</t>
        </is>
      </c>
      <c r="H226" t="inlineStr">
        <is>
          <t>Electricité</t>
        </is>
      </c>
      <c r="I226" t="inlineStr">
        <is>
          <t>4</t>
        </is>
      </c>
      <c r="J226" t="inlineStr">
        <is>
          <t>12550</t>
        </is>
      </c>
      <c r="K226" t="inlineStr">
        <is>
          <t>0.0</t>
        </is>
      </c>
      <c r="L226" t="inlineStr">
        <is>
          <t>50200</t>
        </is>
      </c>
      <c r="M226" t="inlineStr">
        <is>
          <t>59 236</t>
        </is>
      </c>
    </row>
    <row r="227">
      <c r="A227" t="inlineStr">
        <is>
          <t>T05-250603-093876</t>
        </is>
      </c>
      <c r="B227" t="inlineStr">
        <is>
          <t>2025-06-03</t>
        </is>
      </c>
      <c r="C227" t="inlineStr">
        <is>
          <t>10:50</t>
        </is>
      </c>
      <c r="D227" t="inlineStr">
        <is>
          <t>Magasin 5 — Kaya Marché</t>
        </is>
      </c>
      <c r="E227" t="inlineStr">
        <is>
          <t>Moussa Ilboudo</t>
        </is>
      </c>
      <c r="F227" t="inlineStr">
        <is>
          <t>17014</t>
        </is>
      </c>
      <c r="G227" t="inlineStr">
        <is>
          <t>Meuleuse 125 mm — réf 2</t>
        </is>
      </c>
      <c r="H227" t="inlineStr">
        <is>
          <t>Quincaillerie</t>
        </is>
      </c>
      <c r="I227" t="inlineStr">
        <is>
          <t>4</t>
        </is>
      </c>
      <c r="J227" t="inlineStr">
        <is>
          <t>5875</t>
        </is>
      </c>
      <c r="K227" t="inlineStr">
        <is>
          <t>0.08</t>
        </is>
      </c>
      <c r="L227" t="inlineStr">
        <is>
          <t>21620</t>
        </is>
      </c>
      <c r="M227" t="inlineStr">
        <is>
          <t>25 512</t>
        </is>
      </c>
    </row>
    <row r="228">
      <c r="A228" t="inlineStr">
        <is>
          <t>T05-250603-093876</t>
        </is>
      </c>
      <c r="B228" t="inlineStr">
        <is>
          <t>2025-06-03</t>
        </is>
      </c>
      <c r="C228" t="inlineStr">
        <is>
          <t>11:04</t>
        </is>
      </c>
      <c r="D228" t="inlineStr">
        <is>
          <t>Magasin 5 — Kaya Marché</t>
        </is>
      </c>
      <c r="E228" t="inlineStr">
        <is>
          <t>Boureima Ouédraogo</t>
        </is>
      </c>
      <c r="F228" t="inlineStr">
        <is>
          <t>14525</t>
        </is>
      </c>
      <c r="G228" t="inlineStr">
        <is>
          <t>Ampoule LED 9 W — réf 1</t>
        </is>
      </c>
      <c r="H228" t="inlineStr">
        <is>
          <t>Electricité</t>
        </is>
      </c>
      <c r="I228" t="inlineStr">
        <is>
          <t>2</t>
        </is>
      </c>
      <c r="J228" t="inlineStr">
        <is>
          <t>9475</t>
        </is>
      </c>
      <c r="K228" t="inlineStr">
        <is>
          <t>0.0</t>
        </is>
      </c>
      <c r="L228" t="inlineStr">
        <is>
          <t>18950</t>
        </is>
      </c>
      <c r="M228" t="inlineStr">
        <is>
          <t>22 361</t>
        </is>
      </c>
    </row>
    <row r="229">
      <c r="A229" t="inlineStr">
        <is>
          <t>T05-250603-093876</t>
        </is>
      </c>
      <c r="B229" t="inlineStr">
        <is>
          <t>2025-06-03</t>
        </is>
      </c>
      <c r="C229" t="inlineStr">
        <is>
          <t>11:37</t>
        </is>
      </c>
      <c r="D229" t="inlineStr">
        <is>
          <t>Magasin 5 — Kaya Marché</t>
        </is>
      </c>
      <c r="E229" t="inlineStr">
        <is>
          <t>Boureima Ouédraogo</t>
        </is>
      </c>
      <c r="F229" t="inlineStr">
        <is>
          <t>2988</t>
        </is>
      </c>
      <c r="G229" t="inlineStr">
        <is>
          <t>Lame de lambris 4 m — réf 2</t>
        </is>
      </c>
      <c r="H229" t="inlineStr">
        <is>
          <t>Bois &amp; panneaux</t>
        </is>
      </c>
      <c r="I229" t="inlineStr">
        <is>
          <t>14</t>
        </is>
      </c>
      <c r="J229" t="inlineStr">
        <is>
          <t>15950</t>
        </is>
      </c>
      <c r="K229" t="inlineStr">
        <is>
          <t>0.0</t>
        </is>
      </c>
      <c r="L229" t="inlineStr">
        <is>
          <t>223300</t>
        </is>
      </c>
      <c r="M229" t="inlineStr">
        <is>
          <t>263 494</t>
        </is>
      </c>
    </row>
    <row r="230">
      <c r="A230" t="inlineStr">
        <is>
          <t>T05-250603-093877</t>
        </is>
      </c>
      <c r="B230" t="inlineStr">
        <is>
          <t>2025-06-03</t>
        </is>
      </c>
      <c r="C230" t="inlineStr">
        <is>
          <t>07:08</t>
        </is>
      </c>
      <c r="D230" t="inlineStr">
        <is>
          <t>Magasin 5 — Kaya Marché</t>
        </is>
      </c>
      <c r="E230" t="inlineStr">
        <is>
          <t>Salamatu Sankara</t>
        </is>
      </c>
      <c r="F230" t="inlineStr">
        <is>
          <t>6405</t>
        </is>
      </c>
      <c r="G230" t="inlineStr">
        <is>
          <t>Clé plate 13 — réf 2</t>
        </is>
      </c>
      <c r="H230" t="inlineStr">
        <is>
          <t>Quincaillerie</t>
        </is>
      </c>
      <c r="I230" t="inlineStr">
        <is>
          <t>1</t>
        </is>
      </c>
      <c r="J230" t="inlineStr">
        <is>
          <t>10625</t>
        </is>
      </c>
      <c r="K230" t="inlineStr">
        <is>
          <t>0.04</t>
        </is>
      </c>
      <c r="L230" t="inlineStr">
        <is>
          <t>10200</t>
        </is>
      </c>
      <c r="M230" t="inlineStr">
        <is>
          <t>12 036</t>
        </is>
      </c>
    </row>
    <row r="231">
      <c r="A231" t="inlineStr">
        <is>
          <t>T05-250603-093877</t>
        </is>
      </c>
      <c r="B231" t="inlineStr">
        <is>
          <t>2025-06-03</t>
        </is>
      </c>
      <c r="C231" t="inlineStr">
        <is>
          <t>12:01</t>
        </is>
      </c>
      <c r="D231" t="inlineStr">
        <is>
          <t>Magasin 5 — Kaya Marché</t>
        </is>
      </c>
      <c r="E231" t="inlineStr">
        <is>
          <t>Moussa Ilboudo</t>
        </is>
      </c>
      <c r="F231" t="inlineStr">
        <is>
          <t>5892</t>
        </is>
      </c>
      <c r="G231" t="inlineStr">
        <is>
          <t>Mètre ruban 5 m — réf 1</t>
        </is>
      </c>
      <c r="H231" t="inlineStr">
        <is>
          <t>Quincaillerie</t>
        </is>
      </c>
      <c r="I231" t="inlineStr">
        <is>
          <t>18</t>
        </is>
      </c>
      <c r="J231" t="inlineStr">
        <is>
          <t>7650</t>
        </is>
      </c>
      <c r="K231" t="inlineStr">
        <is>
          <t>0.08</t>
        </is>
      </c>
      <c r="L231" t="inlineStr">
        <is>
          <t>126684</t>
        </is>
      </c>
      <c r="M231" t="inlineStr">
        <is>
          <t>149 487</t>
        </is>
      </c>
    </row>
    <row r="232">
      <c r="A232" t="inlineStr">
        <is>
          <t>T05-250603-093877</t>
        </is>
      </c>
      <c r="B232" t="inlineStr">
        <is>
          <t>2025-06-03</t>
        </is>
      </c>
      <c r="C232" t="inlineStr">
        <is>
          <t>15:41</t>
        </is>
      </c>
      <c r="D232" t="inlineStr">
        <is>
          <t>Magasin 5 — Kaya Marché</t>
        </is>
      </c>
      <c r="E232" t="inlineStr">
        <is>
          <t>Adama Bationo</t>
        </is>
      </c>
      <c r="F232" t="inlineStr">
        <is>
          <t>7824</t>
        </is>
      </c>
      <c r="G232" t="inlineStr">
        <is>
          <t>Ballon d'eau chaude 50 L — réf 1</t>
        </is>
      </c>
      <c r="H232" t="inlineStr">
        <is>
          <t>Plomberie</t>
        </is>
      </c>
      <c r="I232" t="inlineStr">
        <is>
          <t>6</t>
        </is>
      </c>
      <c r="J232" t="inlineStr">
        <is>
          <t>33325</t>
        </is>
      </c>
      <c r="K232" t="inlineStr">
        <is>
          <t>0.0</t>
        </is>
      </c>
      <c r="L232" t="inlineStr">
        <is>
          <t>199950</t>
        </is>
      </c>
      <c r="M232" t="inlineStr">
        <is>
          <t>235 941</t>
        </is>
      </c>
    </row>
    <row r="233">
      <c r="A233" t="inlineStr">
        <is>
          <t>T05-250603-093878</t>
        </is>
      </c>
      <c r="B233" t="inlineStr">
        <is>
          <t>03/06/2025</t>
        </is>
      </c>
      <c r="C233" t="inlineStr">
        <is>
          <t>13:44</t>
        </is>
      </c>
      <c r="D233" t="inlineStr">
        <is>
          <t>Magasin 5 — Kaya Marché</t>
        </is>
      </c>
      <c r="E233" t="inlineStr">
        <is>
          <t>Moussa Ilboudo</t>
        </is>
      </c>
      <c r="F233" t="inlineStr">
        <is>
          <t>19541</t>
        </is>
      </c>
      <c r="G233" t="inlineStr">
        <is>
          <t>Bêche à manche bois — réf 1</t>
        </is>
      </c>
      <c r="H233" t="inlineStr">
        <is>
          <t>Consommables</t>
        </is>
      </c>
      <c r="I233" t="inlineStr">
        <is>
          <t>4</t>
        </is>
      </c>
      <c r="J233" t="inlineStr">
        <is>
          <t>5400</t>
        </is>
      </c>
      <c r="K233" t="inlineStr">
        <is>
          <t>0.04</t>
        </is>
      </c>
      <c r="L233" t="inlineStr">
        <is>
          <t>20736</t>
        </is>
      </c>
      <c r="M233" t="inlineStr">
        <is>
          <t>24 468</t>
        </is>
      </c>
    </row>
    <row r="234">
      <c r="A234" t="inlineStr">
        <is>
          <t>T05-250603-093878</t>
        </is>
      </c>
      <c r="B234" t="inlineStr">
        <is>
          <t>2025-06-03</t>
        </is>
      </c>
      <c r="C234" t="inlineStr">
        <is>
          <t>13:29</t>
        </is>
      </c>
      <c r="D234" t="inlineStr">
        <is>
          <t>Magasin 5 — Kaya Marché</t>
        </is>
      </c>
      <c r="E234" t="inlineStr">
        <is>
          <t>Moussa Ilboudo</t>
        </is>
      </c>
      <c r="F234" t="inlineStr">
        <is>
          <t>4341</t>
        </is>
      </c>
      <c r="G234" t="inlineStr">
        <is>
          <t>Vis à bois 4x40 (boîte) — réf 1</t>
        </is>
      </c>
      <c r="H234" t="inlineStr">
        <is>
          <t>Quincaillerie</t>
        </is>
      </c>
      <c r="I234" t="inlineStr">
        <is>
          <t>3</t>
        </is>
      </c>
      <c r="J234" t="inlineStr">
        <is>
          <t>1800</t>
        </is>
      </c>
      <c r="K234" t="inlineStr">
        <is>
          <t>0.04</t>
        </is>
      </c>
      <c r="L234" t="inlineStr">
        <is>
          <t>5184</t>
        </is>
      </c>
      <c r="M234" t="inlineStr">
        <is>
          <t>6 117</t>
        </is>
      </c>
    </row>
    <row r="235">
      <c r="A235" t="inlineStr">
        <is>
          <t>T05-250603-093878</t>
        </is>
      </c>
      <c r="B235" t="inlineStr">
        <is>
          <t>2025-06-03</t>
        </is>
      </c>
      <c r="C235" t="inlineStr">
        <is>
          <t>17:06</t>
        </is>
      </c>
      <c r="D235" t="inlineStr">
        <is>
          <t>Magasin 5 — Kaya Marché</t>
        </is>
      </c>
      <c r="E235" t="inlineStr">
        <is>
          <t>Salamatu Sankara</t>
        </is>
      </c>
      <c r="F235" t="inlineStr">
        <is>
          <t>4037</t>
        </is>
      </c>
      <c r="G235" t="inlineStr">
        <is>
          <t>Peinture acrylique blanc 10 L — réf 2</t>
        </is>
      </c>
      <c r="H235" t="inlineStr">
        <is>
          <t>Peinture</t>
        </is>
      </c>
      <c r="I235" t="inlineStr">
        <is>
          <t>17</t>
        </is>
      </c>
      <c r="J235" t="inlineStr">
        <is>
          <t>6750</t>
        </is>
      </c>
      <c r="K235" t="inlineStr">
        <is>
          <t>0.0</t>
        </is>
      </c>
      <c r="L235" t="inlineStr">
        <is>
          <t>114750</t>
        </is>
      </c>
      <c r="M235" t="inlineStr">
        <is>
          <t>135 405</t>
        </is>
      </c>
    </row>
    <row r="236">
      <c r="A236" t="inlineStr">
        <is>
          <t>T05-250603-093879</t>
        </is>
      </c>
      <c r="B236" t="inlineStr">
        <is>
          <t>2025-06-03</t>
        </is>
      </c>
      <c r="C236" t="inlineStr">
        <is>
          <t>14:15</t>
        </is>
      </c>
      <c r="D236" t="inlineStr">
        <is>
          <t>Magasin 5 — Kaya Marché</t>
        </is>
      </c>
      <c r="E236" t="inlineStr">
        <is>
          <t>Boureima Ouédraogo</t>
        </is>
      </c>
      <c r="F236" t="inlineStr">
        <is>
          <t>5173</t>
        </is>
      </c>
      <c r="G236" t="inlineStr">
        <is>
          <t>Brique de terre cuite — réf 2</t>
        </is>
      </c>
      <c r="H236" t="inlineStr">
        <is>
          <t>Matériaux</t>
        </is>
      </c>
      <c r="I236" t="inlineStr">
        <is>
          <t>1</t>
        </is>
      </c>
      <c r="J236" t="inlineStr">
        <is>
          <t>700</t>
        </is>
      </c>
      <c r="K236" t="inlineStr">
        <is>
          <t>0.0</t>
        </is>
      </c>
      <c r="L236" t="inlineStr">
        <is>
          <t>700</t>
        </is>
      </c>
      <c r="M236" t="inlineStr">
        <is>
          <t>826</t>
        </is>
      </c>
    </row>
    <row r="237">
      <c r="A237" t="inlineStr">
        <is>
          <t>T05-250603-093879</t>
        </is>
      </c>
      <c r="B237" t="inlineStr">
        <is>
          <t>2025-06-03</t>
        </is>
      </c>
      <c r="C237" t="inlineStr">
        <is>
          <t>13:05</t>
        </is>
      </c>
      <c r="D237" t="inlineStr">
        <is>
          <t>Magasin 5 — Kaya Marché</t>
        </is>
      </c>
      <c r="E237" t="inlineStr">
        <is>
          <t>Moussa Ilboudo</t>
        </is>
      </c>
      <c r="F237" t="inlineStr">
        <is>
          <t>17169</t>
        </is>
      </c>
      <c r="G237" t="inlineStr">
        <is>
          <t>Hourdis creux 12 — réf 2</t>
        </is>
      </c>
      <c r="H237" t="inlineStr">
        <is>
          <t>Matériaux</t>
        </is>
      </c>
      <c r="I237" t="inlineStr">
        <is>
          <t>2</t>
        </is>
      </c>
      <c r="J237" t="inlineStr">
        <is>
          <t>1575</t>
        </is>
      </c>
      <c r="K237" t="inlineStr">
        <is>
          <t>0.08</t>
        </is>
      </c>
      <c r="L237" t="inlineStr">
        <is>
          <t>2898</t>
        </is>
      </c>
      <c r="M237" t="inlineStr">
        <is>
          <t>3 420</t>
        </is>
      </c>
    </row>
    <row r="238">
      <c r="A238" t="inlineStr">
        <is>
          <t>T05-250603-093879</t>
        </is>
      </c>
      <c r="B238" t="inlineStr">
        <is>
          <t>2025-06-03</t>
        </is>
      </c>
      <c r="C238" t="inlineStr">
        <is>
          <t>07:11</t>
        </is>
      </c>
      <c r="D238" t="inlineStr">
        <is>
          <t>Magasin 5 — Kaya Marché</t>
        </is>
      </c>
      <c r="E238" t="inlineStr">
        <is>
          <t>Moussa Ilboudo</t>
        </is>
      </c>
      <c r="F238" t="inlineStr">
        <is>
          <t>0</t>
        </is>
      </c>
      <c r="G238" t="inlineStr">
        <is>
          <t>Mastic d'étanchéité — réf 1</t>
        </is>
      </c>
      <c r="H238" t="inlineStr">
        <is>
          <t>Plomberie</t>
        </is>
      </c>
      <c r="I238" t="inlineStr">
        <is>
          <t>5</t>
        </is>
      </c>
      <c r="J238" t="inlineStr">
        <is>
          <t>3375</t>
        </is>
      </c>
      <c r="K238" t="inlineStr">
        <is>
          <t>0.0</t>
        </is>
      </c>
      <c r="L238" t="inlineStr">
        <is>
          <t>16875</t>
        </is>
      </c>
      <c r="M238" t="inlineStr">
        <is>
          <t>19 913</t>
        </is>
      </c>
    </row>
    <row r="239">
      <c r="A239" t="inlineStr">
        <is>
          <t>T05-250604-093928</t>
        </is>
      </c>
      <c r="B239" t="inlineStr">
        <is>
          <t>2025-06-04</t>
        </is>
      </c>
      <c r="C239" t="inlineStr">
        <is>
          <t>13:30</t>
        </is>
      </c>
      <c r="D239" t="inlineStr">
        <is>
          <t>Magasin 5 — Kaya Marché</t>
        </is>
      </c>
      <c r="E239" t="inlineStr">
        <is>
          <t>Adama Bationo</t>
        </is>
      </c>
      <c r="F239" t="inlineStr">
        <is>
          <t>0</t>
        </is>
      </c>
      <c r="G239" t="inlineStr">
        <is>
          <t>Peinture toiture 25 kg — réf 2</t>
        </is>
      </c>
      <c r="H239" t="inlineStr">
        <is>
          <t>Peinture</t>
        </is>
      </c>
      <c r="I239" t="inlineStr">
        <is>
          <t>2</t>
        </is>
      </c>
      <c r="J239" t="inlineStr">
        <is>
          <t>6025</t>
        </is>
      </c>
      <c r="K239" t="inlineStr">
        <is>
          <t>0.0</t>
        </is>
      </c>
      <c r="L239" t="inlineStr">
        <is>
          <t>12050</t>
        </is>
      </c>
      <c r="M239" t="inlineStr">
        <is>
          <t>14 219</t>
        </is>
      </c>
    </row>
    <row r="240">
      <c r="A240" t="inlineStr">
        <is>
          <t>T05-250604-093929</t>
        </is>
      </c>
      <c r="B240" t="inlineStr">
        <is>
          <t>2025-06-04</t>
        </is>
      </c>
      <c r="C240" t="inlineStr">
        <is>
          <t>11:21</t>
        </is>
      </c>
      <c r="D240" t="inlineStr">
        <is>
          <t>Magasin 5 — Kaya Marché</t>
        </is>
      </c>
      <c r="E240" t="inlineStr">
        <is>
          <t>Adama Bationo</t>
        </is>
      </c>
      <c r="F240" t="inlineStr">
        <is>
          <t>984</t>
        </is>
      </c>
      <c r="G240" t="inlineStr">
        <is>
          <t>Régulateur de charge 10 A — réf 2</t>
        </is>
      </c>
      <c r="H240" t="inlineStr">
        <is>
          <t>Electricité</t>
        </is>
      </c>
      <c r="I240" t="inlineStr">
        <is>
          <t>1</t>
        </is>
      </c>
      <c r="J240" t="inlineStr">
        <is>
          <t>10950</t>
        </is>
      </c>
      <c r="K240" t="inlineStr">
        <is>
          <t>0.04</t>
        </is>
      </c>
      <c r="L240" t="inlineStr">
        <is>
          <t>10512</t>
        </is>
      </c>
      <c r="M240" t="inlineStr">
        <is>
          <t>12 404</t>
        </is>
      </c>
    </row>
    <row r="241">
      <c r="A241" t="inlineStr">
        <is>
          <t>T05-250604-093930</t>
        </is>
      </c>
      <c r="B241" t="inlineStr">
        <is>
          <t>2025-06-04</t>
        </is>
      </c>
      <c r="C241" t="inlineStr">
        <is>
          <t>15:54</t>
        </is>
      </c>
      <c r="D241" t="inlineStr">
        <is>
          <t>Magasin 5 — Kaya Marché</t>
        </is>
      </c>
      <c r="E241" t="inlineStr">
        <is>
          <t>Moussa Ilboudo</t>
        </is>
      </c>
      <c r="F241" t="inlineStr">
        <is>
          <t>20360</t>
        </is>
      </c>
      <c r="G241" t="inlineStr">
        <is>
          <t>Bêche à manche bois — réf 2</t>
        </is>
      </c>
      <c r="H241" t="inlineStr">
        <is>
          <t>Consommables</t>
        </is>
      </c>
      <c r="I241" t="inlineStr">
        <is>
          <t>9</t>
        </is>
      </c>
      <c r="J241" t="inlineStr">
        <is>
          <t>5750</t>
        </is>
      </c>
      <c r="K241" t="inlineStr">
        <is>
          <t>0.0</t>
        </is>
      </c>
      <c r="L241" t="inlineStr">
        <is>
          <t>51750</t>
        </is>
      </c>
      <c r="M241" t="inlineStr">
        <is>
          <t>61 065</t>
        </is>
      </c>
    </row>
    <row r="242">
      <c r="A242" t="inlineStr">
        <is>
          <t>T05-250604-093931</t>
        </is>
      </c>
      <c r="B242" t="inlineStr">
        <is>
          <t>2025-06-04</t>
        </is>
      </c>
      <c r="C242" t="inlineStr">
        <is>
          <t>13:50</t>
        </is>
      </c>
      <c r="D242" t="inlineStr">
        <is>
          <t>Magasin 5 — Kaya Marché</t>
        </is>
      </c>
      <c r="E242" t="inlineStr">
        <is>
          <t>Adama Bationo</t>
        </is>
      </c>
      <c r="F242" t="inlineStr">
        <is>
          <t>6608</t>
        </is>
      </c>
      <c r="G242" t="inlineStr">
        <is>
          <t>Meuleuse 125 mm — réf 2</t>
        </is>
      </c>
      <c r="H242" t="inlineStr">
        <is>
          <t>Quincaillerie</t>
        </is>
      </c>
      <c r="I242" t="inlineStr">
        <is>
          <t>16</t>
        </is>
      </c>
      <c r="J242" t="inlineStr">
        <is>
          <t>5950</t>
        </is>
      </c>
      <c r="K242" t="inlineStr">
        <is>
          <t>0.0</t>
        </is>
      </c>
      <c r="L242" t="inlineStr">
        <is>
          <t>95200</t>
        </is>
      </c>
      <c r="M242" t="inlineStr">
        <is>
          <t>112 336</t>
        </is>
      </c>
    </row>
    <row r="243">
      <c r="A243" t="inlineStr">
        <is>
          <t>T05-250604-093932</t>
        </is>
      </c>
      <c r="B243" t="inlineStr">
        <is>
          <t>2025-06-04</t>
        </is>
      </c>
      <c r="C243" t="inlineStr">
        <is>
          <t>16:33</t>
        </is>
      </c>
      <c r="D243" t="inlineStr">
        <is>
          <t>Magasin 5 — Kaya Marché</t>
        </is>
      </c>
      <c r="E243" t="inlineStr">
        <is>
          <t>Salamatu Sankara</t>
        </is>
      </c>
      <c r="F243" t="inlineStr">
        <is>
          <t>6961</t>
        </is>
      </c>
      <c r="G243" t="inlineStr">
        <is>
          <t>Gants anti-coupure (paire) — réf 1</t>
        </is>
      </c>
      <c r="H243" t="inlineStr">
        <is>
          <t>Consommables</t>
        </is>
      </c>
      <c r="I243" t="inlineStr">
        <is>
          <t>2</t>
        </is>
      </c>
      <c r="J243" t="inlineStr">
        <is>
          <t>8875</t>
        </is>
      </c>
      <c r="K243" t="inlineStr">
        <is>
          <t>0.08</t>
        </is>
      </c>
      <c r="L243" t="inlineStr">
        <is>
          <t>16330</t>
        </is>
      </c>
      <c r="M243" t="inlineStr">
        <is>
          <t>19 269</t>
        </is>
      </c>
    </row>
    <row r="244">
      <c r="A244" t="inlineStr">
        <is>
          <t>T05-250604-093933</t>
        </is>
      </c>
      <c r="B244" t="inlineStr">
        <is>
          <t>2025-06-04</t>
        </is>
      </c>
      <c r="C244" t="inlineStr">
        <is>
          <t>18:03</t>
        </is>
      </c>
      <c r="D244" t="inlineStr">
        <is>
          <t>Magasin 5 — Kaya Marché</t>
        </is>
      </c>
      <c r="E244" t="inlineStr">
        <is>
          <t>Salamatu Sankara</t>
        </is>
      </c>
      <c r="F244" t="inlineStr"/>
      <c r="G244" t="inlineStr">
        <is>
          <t>Mètre ruban 5 m — réf 1</t>
        </is>
      </c>
      <c r="H244" t="inlineStr">
        <is>
          <t>Quincaillerie</t>
        </is>
      </c>
      <c r="I244" t="inlineStr">
        <is>
          <t>1</t>
        </is>
      </c>
      <c r="J244" t="inlineStr">
        <is>
          <t>7500</t>
        </is>
      </c>
      <c r="K244" t="inlineStr">
        <is>
          <t>0.04</t>
        </is>
      </c>
      <c r="L244" t="inlineStr">
        <is>
          <t>7200</t>
        </is>
      </c>
      <c r="M244" t="inlineStr">
        <is>
          <t>8 496</t>
        </is>
      </c>
    </row>
    <row r="245">
      <c r="A245" t="inlineStr">
        <is>
          <t>T05-250701-096416</t>
        </is>
      </c>
      <c r="B245" t="inlineStr">
        <is>
          <t>2025-07-01</t>
        </is>
      </c>
      <c r="C245" t="inlineStr">
        <is>
          <t>16:24</t>
        </is>
      </c>
      <c r="D245" t="inlineStr">
        <is>
          <t>Magasin 5 — Kaya Marché</t>
        </is>
      </c>
      <c r="E245" t="inlineStr">
        <is>
          <t>Salamatu Sankara</t>
        </is>
      </c>
      <c r="F245" t="inlineStr">
        <is>
          <t>1934</t>
        </is>
      </c>
      <c r="G245" t="inlineStr">
        <is>
          <t>Clé plate 13 — réf 1</t>
        </is>
      </c>
      <c r="H245" t="inlineStr">
        <is>
          <t>Quincaillerie</t>
        </is>
      </c>
      <c r="I245" t="inlineStr">
        <is>
          <t>1</t>
        </is>
      </c>
      <c r="J245" t="inlineStr">
        <is>
          <t>9550</t>
        </is>
      </c>
      <c r="K245" t="inlineStr">
        <is>
          <t>0.04</t>
        </is>
      </c>
      <c r="L245" t="inlineStr">
        <is>
          <t>9168</t>
        </is>
      </c>
      <c r="M245" t="inlineStr">
        <is>
          <t>10 818</t>
        </is>
      </c>
    </row>
    <row r="246">
      <c r="A246" t="inlineStr">
        <is>
          <t>T05-250701-096416</t>
        </is>
      </c>
      <c r="B246" t="inlineStr">
        <is>
          <t>2025-07-01</t>
        </is>
      </c>
      <c r="C246" t="inlineStr">
        <is>
          <t>15:38</t>
        </is>
      </c>
      <c r="D246" t="inlineStr">
        <is>
          <t>Magasin 5 — Kaya Marché</t>
        </is>
      </c>
      <c r="E246" t="inlineStr">
        <is>
          <t>Adama Bationo</t>
        </is>
      </c>
      <c r="F246" t="inlineStr">
        <is>
          <t>2296</t>
        </is>
      </c>
      <c r="G246" t="inlineStr">
        <is>
          <t>Gravier 15/25 (m3) — réf 2</t>
        </is>
      </c>
      <c r="H246" t="inlineStr">
        <is>
          <t>Matériaux</t>
        </is>
      </c>
      <c r="I246" t="inlineStr">
        <is>
          <t>3</t>
        </is>
      </c>
      <c r="J246" t="inlineStr">
        <is>
          <t>22075</t>
        </is>
      </c>
      <c r="K246" t="inlineStr">
        <is>
          <t>0.0</t>
        </is>
      </c>
      <c r="L246" t="inlineStr">
        <is>
          <t>66225</t>
        </is>
      </c>
      <c r="M246" t="inlineStr">
        <is>
          <t>78 145</t>
        </is>
      </c>
    </row>
    <row r="247">
      <c r="A247" t="inlineStr">
        <is>
          <t>T05-250701-096416</t>
        </is>
      </c>
      <c r="B247" t="inlineStr">
        <is>
          <t>01/07/2025</t>
        </is>
      </c>
      <c r="C247" t="inlineStr">
        <is>
          <t>18:25</t>
        </is>
      </c>
      <c r="D247" t="inlineStr">
        <is>
          <t>Magasin 5 — Kaya Marché</t>
        </is>
      </c>
      <c r="E247" t="inlineStr">
        <is>
          <t>Adama Bationo</t>
        </is>
      </c>
      <c r="F247" t="inlineStr">
        <is>
          <t>0</t>
        </is>
      </c>
      <c r="G247" t="inlineStr">
        <is>
          <t>Cheville nylon 8 mm (sachet) — réf 1</t>
        </is>
      </c>
      <c r="H247" t="inlineStr">
        <is>
          <t>Quincaillerie</t>
        </is>
      </c>
      <c r="I247" t="inlineStr">
        <is>
          <t>3</t>
        </is>
      </c>
      <c r="J247" t="inlineStr">
        <is>
          <t>2425</t>
        </is>
      </c>
      <c r="K247" t="inlineStr">
        <is>
          <t>0.0</t>
        </is>
      </c>
      <c r="L247" t="inlineStr">
        <is>
          <t>7275</t>
        </is>
      </c>
      <c r="M247" t="inlineStr">
        <is>
          <t>8 585</t>
        </is>
      </c>
    </row>
    <row r="248">
      <c r="A248" t="inlineStr">
        <is>
          <t>T05-250701-096417</t>
        </is>
      </c>
      <c r="B248" t="inlineStr">
        <is>
          <t>01/07/2025</t>
        </is>
      </c>
      <c r="C248" t="inlineStr">
        <is>
          <t>12:13</t>
        </is>
      </c>
      <c r="D248" t="inlineStr">
        <is>
          <t>Magasin 5 — Kaya Marché</t>
        </is>
      </c>
      <c r="E248" t="inlineStr">
        <is>
          <t>Moussa Ilboudo</t>
        </is>
      </c>
      <c r="F248" t="inlineStr">
        <is>
          <t>9379</t>
        </is>
      </c>
      <c r="G248" t="inlineStr">
        <is>
          <t>Baguette de finition 2,4 m — réf 2</t>
        </is>
      </c>
      <c r="H248" t="inlineStr">
        <is>
          <t>Bois &amp; panneaux</t>
        </is>
      </c>
      <c r="I248" t="inlineStr">
        <is>
          <t>-3</t>
        </is>
      </c>
      <c r="J248" t="inlineStr">
        <is>
          <t>14650</t>
        </is>
      </c>
      <c r="K248" t="inlineStr">
        <is>
          <t>0.08</t>
        </is>
      </c>
      <c r="L248" t="inlineStr">
        <is>
          <t>-40434</t>
        </is>
      </c>
      <c r="M248" t="inlineStr">
        <is>
          <t>-47 712</t>
        </is>
      </c>
    </row>
    <row r="249">
      <c r="A249" t="inlineStr">
        <is>
          <t>T05-250701-096417</t>
        </is>
      </c>
      <c r="B249" t="inlineStr">
        <is>
          <t>2025-07-01</t>
        </is>
      </c>
      <c r="C249" t="inlineStr">
        <is>
          <t>07:18</t>
        </is>
      </c>
      <c r="D249" t="inlineStr">
        <is>
          <t>Magasin 5 — Kaya Marché</t>
        </is>
      </c>
      <c r="E249" t="inlineStr">
        <is>
          <t>Moussa Ilboudo</t>
        </is>
      </c>
      <c r="F249" t="inlineStr"/>
      <c r="G249" t="inlineStr">
        <is>
          <t>Ciment CPJ35 50 kg — réf 2</t>
        </is>
      </c>
      <c r="H249" t="inlineStr">
        <is>
          <t>Matériaux</t>
        </is>
      </c>
      <c r="I249" t="inlineStr">
        <is>
          <t>17</t>
        </is>
      </c>
      <c r="J249" t="inlineStr">
        <is>
          <t>4275</t>
        </is>
      </c>
      <c r="K249" t="inlineStr">
        <is>
          <t>0.04</t>
        </is>
      </c>
      <c r="L249" t="inlineStr">
        <is>
          <t>69768</t>
        </is>
      </c>
      <c r="M249" t="inlineStr">
        <is>
          <t>82 326</t>
        </is>
      </c>
    </row>
    <row r="250">
      <c r="A250" t="inlineStr">
        <is>
          <t>T05-250701-096418</t>
        </is>
      </c>
      <c r="B250" t="inlineStr">
        <is>
          <t>2025-07-01</t>
        </is>
      </c>
      <c r="C250" t="inlineStr">
        <is>
          <t>09:00</t>
        </is>
      </c>
      <c r="D250" t="inlineStr">
        <is>
          <t>Magasin 5 — Kaya Marché</t>
        </is>
      </c>
      <c r="E250" t="inlineStr">
        <is>
          <t>Moussa Ilboudo</t>
        </is>
      </c>
      <c r="F250" t="inlineStr">
        <is>
          <t>21947</t>
        </is>
      </c>
      <c r="G250" t="inlineStr">
        <is>
          <t>Pointe 100 mm (kg) — réf 2</t>
        </is>
      </c>
      <c r="H250" t="inlineStr">
        <is>
          <t>Quincaillerie</t>
        </is>
      </c>
      <c r="I250" t="inlineStr">
        <is>
          <t>8</t>
        </is>
      </c>
      <c r="J250" t="inlineStr">
        <is>
          <t>1400</t>
        </is>
      </c>
      <c r="K250" t="inlineStr">
        <is>
          <t>0.04</t>
        </is>
      </c>
      <c r="L250" t="inlineStr">
        <is>
          <t>10752</t>
        </is>
      </c>
      <c r="M250" t="inlineStr">
        <is>
          <t>12 687</t>
        </is>
      </c>
    </row>
    <row r="251">
      <c r="A251" t="inlineStr">
        <is>
          <t>T05-250701-096418</t>
        </is>
      </c>
      <c r="B251" t="inlineStr">
        <is>
          <t>2025-07-01</t>
        </is>
      </c>
      <c r="C251" t="inlineStr">
        <is>
          <t>16:23</t>
        </is>
      </c>
      <c r="D251" t="inlineStr">
        <is>
          <t>Magasin 5 — Kaya Marché</t>
        </is>
      </c>
      <c r="E251" t="inlineStr">
        <is>
          <t>Adama Bationo</t>
        </is>
      </c>
      <c r="F251" t="inlineStr">
        <is>
          <t>1242</t>
        </is>
      </c>
      <c r="G251" t="inlineStr">
        <is>
          <t>Vis à bois 4x40 (boîte) — réf 2</t>
        </is>
      </c>
      <c r="H251" t="inlineStr">
        <is>
          <t>Quincaillerie</t>
        </is>
      </c>
      <c r="I251" t="inlineStr">
        <is>
          <t>21</t>
        </is>
      </c>
      <c r="J251" t="inlineStr">
        <is>
          <t>1625</t>
        </is>
      </c>
      <c r="K251" t="inlineStr">
        <is>
          <t>0.04</t>
        </is>
      </c>
      <c r="L251" t="inlineStr">
        <is>
          <t>32760</t>
        </is>
      </c>
      <c r="M251" t="inlineStr">
        <is>
          <t>38 657</t>
        </is>
      </c>
    </row>
    <row r="252">
      <c r="A252" t="inlineStr">
        <is>
          <t>T05-250701-096419</t>
        </is>
      </c>
      <c r="B252" t="inlineStr">
        <is>
          <t>2025-07-01</t>
        </is>
      </c>
      <c r="C252" t="inlineStr">
        <is>
          <t>18:03</t>
        </is>
      </c>
      <c r="D252" t="inlineStr">
        <is>
          <t>Magasin 5 — Kaya Marché</t>
        </is>
      </c>
      <c r="E252" t="inlineStr">
        <is>
          <t>Boureima Ouédraogo</t>
        </is>
      </c>
      <c r="F252" t="inlineStr">
        <is>
          <t>20420</t>
        </is>
      </c>
      <c r="G252" t="inlineStr">
        <is>
          <t>Gravier 15/25 (m3) — réf 2</t>
        </is>
      </c>
      <c r="H252" t="inlineStr">
        <is>
          <t>Matériaux</t>
        </is>
      </c>
      <c r="I252" t="inlineStr">
        <is>
          <t>2</t>
        </is>
      </c>
      <c r="J252" t="inlineStr">
        <is>
          <t>21075</t>
        </is>
      </c>
      <c r="K252" t="inlineStr">
        <is>
          <t>0.08</t>
        </is>
      </c>
      <c r="L252" t="inlineStr">
        <is>
          <t>38778</t>
        </is>
      </c>
      <c r="M252" t="inlineStr">
        <is>
          <t>45 758</t>
        </is>
      </c>
    </row>
    <row r="253">
      <c r="A253" t="inlineStr">
        <is>
          <t>T05-250701-096419</t>
        </is>
      </c>
      <c r="B253" t="inlineStr">
        <is>
          <t>2025-07-01</t>
        </is>
      </c>
      <c r="C253" t="inlineStr">
        <is>
          <t>09:03</t>
        </is>
      </c>
      <c r="D253" t="inlineStr">
        <is>
          <t>Magasin 5 — Kaya Marché</t>
        </is>
      </c>
      <c r="E253" t="inlineStr">
        <is>
          <t>Boureima Ouédraogo</t>
        </is>
      </c>
      <c r="F253" t="inlineStr">
        <is>
          <t>1469</t>
        </is>
      </c>
      <c r="G253" t="inlineStr">
        <is>
          <t>Lavabo céramique — réf 2</t>
        </is>
      </c>
      <c r="H253" t="inlineStr">
        <is>
          <t>Plomberie</t>
        </is>
      </c>
      <c r="I253" t="inlineStr">
        <is>
          <t>3</t>
        </is>
      </c>
      <c r="J253" t="inlineStr">
        <is>
          <t>40150</t>
        </is>
      </c>
      <c r="K253" t="inlineStr">
        <is>
          <t>0.0</t>
        </is>
      </c>
      <c r="L253" t="inlineStr">
        <is>
          <t>120450</t>
        </is>
      </c>
      <c r="M253" t="inlineStr">
        <is>
          <t>142 131</t>
        </is>
      </c>
    </row>
    <row r="254">
      <c r="A254" t="inlineStr">
        <is>
          <t>T05-250701-096420</t>
        </is>
      </c>
      <c r="B254" t="inlineStr">
        <is>
          <t>2025-07-01</t>
        </is>
      </c>
      <c r="C254" t="inlineStr">
        <is>
          <t>11:26</t>
        </is>
      </c>
      <c r="D254" t="inlineStr">
        <is>
          <t>Magasin 5 — Kaya Marché</t>
        </is>
      </c>
      <c r="E254" t="inlineStr">
        <is>
          <t>Salamatu Sankara</t>
        </is>
      </c>
      <c r="F254" t="inlineStr">
        <is>
          <t>0</t>
        </is>
      </c>
      <c r="G254" t="inlineStr">
        <is>
          <t>Lunettes de protection — réf 2</t>
        </is>
      </c>
      <c r="H254" t="inlineStr">
        <is>
          <t>Consommables</t>
        </is>
      </c>
      <c r="I254" t="inlineStr">
        <is>
          <t>9</t>
        </is>
      </c>
      <c r="J254" t="inlineStr">
        <is>
          <t>4700</t>
        </is>
      </c>
      <c r="K254" t="inlineStr">
        <is>
          <t>0.0</t>
        </is>
      </c>
      <c r="L254" t="inlineStr">
        <is>
          <t>42300</t>
        </is>
      </c>
      <c r="M254" t="inlineStr">
        <is>
          <t>49 914</t>
        </is>
      </c>
    </row>
    <row r="255">
      <c r="A255" t="inlineStr">
        <is>
          <t>T05-250701-096420</t>
        </is>
      </c>
      <c r="B255" t="inlineStr">
        <is>
          <t>2025-07-01</t>
        </is>
      </c>
      <c r="C255" t="inlineStr">
        <is>
          <t>16:13</t>
        </is>
      </c>
      <c r="D255" t="inlineStr">
        <is>
          <t>Magasin 5 — Kaya Marché</t>
        </is>
      </c>
      <c r="E255" t="inlineStr">
        <is>
          <t>Moussa Ilboudo</t>
        </is>
      </c>
      <c r="F255" t="inlineStr"/>
      <c r="G255" t="inlineStr">
        <is>
          <t>Passe-câble étanche — réf 2</t>
        </is>
      </c>
      <c r="H255" t="inlineStr">
        <is>
          <t>Electricité</t>
        </is>
      </c>
      <c r="I255" t="inlineStr">
        <is>
          <t>27</t>
        </is>
      </c>
      <c r="J255" t="inlineStr">
        <is>
          <t>16425</t>
        </is>
      </c>
      <c r="K255" t="inlineStr">
        <is>
          <t>0.0</t>
        </is>
      </c>
      <c r="L255" t="inlineStr">
        <is>
          <t>443475</t>
        </is>
      </c>
      <c r="M255" t="inlineStr">
        <is>
          <t>523 301</t>
        </is>
      </c>
    </row>
    <row r="256">
      <c r="A256" t="inlineStr">
        <is>
          <t>T05-250701-096421</t>
        </is>
      </c>
      <c r="B256" t="inlineStr">
        <is>
          <t>01/07/2025</t>
        </is>
      </c>
      <c r="C256" t="inlineStr">
        <is>
          <t>13:01</t>
        </is>
      </c>
      <c r="D256" t="inlineStr">
        <is>
          <t>Magasin 5 — Kaya Marché</t>
        </is>
      </c>
      <c r="E256" t="inlineStr">
        <is>
          <t>Boureima Ouédraogo</t>
        </is>
      </c>
      <c r="F256" t="inlineStr">
        <is>
          <t>5037</t>
        </is>
      </c>
      <c r="G256" t="inlineStr">
        <is>
          <t>Tube PER 16x2 (rouleau) — réf 2</t>
        </is>
      </c>
      <c r="H256" t="inlineStr">
        <is>
          <t>Plomberie</t>
        </is>
      </c>
      <c r="I256" t="inlineStr">
        <is>
          <t>7</t>
        </is>
      </c>
      <c r="J256" t="inlineStr">
        <is>
          <t>3350</t>
        </is>
      </c>
      <c r="K256" t="inlineStr">
        <is>
          <t>0.0</t>
        </is>
      </c>
      <c r="L256" t="inlineStr">
        <is>
          <t>23450</t>
        </is>
      </c>
      <c r="M256" t="inlineStr">
        <is>
          <t>27 671</t>
        </is>
      </c>
    </row>
    <row r="257">
      <c r="A257" t="inlineStr">
        <is>
          <t>T05-250701-096421</t>
        </is>
      </c>
      <c r="B257" t="inlineStr">
        <is>
          <t>2025-07-01</t>
        </is>
      </c>
      <c r="C257" t="inlineStr">
        <is>
          <t>10:10</t>
        </is>
      </c>
      <c r="D257" t="inlineStr">
        <is>
          <t>Magasin 5 — Kaya Marché</t>
        </is>
      </c>
      <c r="E257" t="inlineStr">
        <is>
          <t>Salamatu Sankara</t>
        </is>
      </c>
      <c r="F257" t="inlineStr">
        <is>
          <t>14644</t>
        </is>
      </c>
      <c r="G257" t="inlineStr">
        <is>
          <t>Ballon d'eau chaude 50 L — réf 1</t>
        </is>
      </c>
      <c r="H257" t="inlineStr">
        <is>
          <t>Plomberie</t>
        </is>
      </c>
      <c r="I257" t="inlineStr">
        <is>
          <t>3</t>
        </is>
      </c>
      <c r="J257" t="inlineStr">
        <is>
          <t>32750</t>
        </is>
      </c>
      <c r="K257" t="inlineStr">
        <is>
          <t>0.04</t>
        </is>
      </c>
      <c r="L257" t="inlineStr">
        <is>
          <t>94320</t>
        </is>
      </c>
      <c r="M257" t="inlineStr">
        <is>
          <t>111 298</t>
        </is>
      </c>
    </row>
    <row r="258">
      <c r="A258" t="inlineStr">
        <is>
          <t>T05-250702-096498</t>
        </is>
      </c>
      <c r="B258" t="inlineStr">
        <is>
          <t>2025-07-02</t>
        </is>
      </c>
      <c r="C258" t="inlineStr">
        <is>
          <t>11:22</t>
        </is>
      </c>
      <c r="D258" t="inlineStr">
        <is>
          <t>Magasin 5 — Kaya Marché</t>
        </is>
      </c>
      <c r="E258" t="inlineStr">
        <is>
          <t>Moussa Ilboudo</t>
        </is>
      </c>
      <c r="F258" t="inlineStr">
        <is>
          <t>0</t>
        </is>
      </c>
      <c r="G258" t="inlineStr">
        <is>
          <t>Fil de fer recuit (kg) — réf 2</t>
        </is>
      </c>
      <c r="H258" t="inlineStr">
        <is>
          <t>Quincaillerie</t>
        </is>
      </c>
      <c r="I258" t="inlineStr">
        <is>
          <t>4</t>
        </is>
      </c>
      <c r="J258" t="inlineStr">
        <is>
          <t>1975</t>
        </is>
      </c>
      <c r="K258" t="inlineStr">
        <is>
          <t>0.0</t>
        </is>
      </c>
      <c r="L258" t="inlineStr">
        <is>
          <t>7900</t>
        </is>
      </c>
      <c r="M258" t="inlineStr">
        <is>
          <t>9 322</t>
        </is>
      </c>
    </row>
    <row r="259">
      <c r="A259" t="inlineStr">
        <is>
          <t>T05-250702-096498</t>
        </is>
      </c>
      <c r="B259" t="inlineStr">
        <is>
          <t>2025-07-02</t>
        </is>
      </c>
      <c r="C259" t="inlineStr">
        <is>
          <t>08:40</t>
        </is>
      </c>
      <c r="D259" t="inlineStr">
        <is>
          <t>Magasin 5 — Kaya Marché</t>
        </is>
      </c>
      <c r="E259" t="inlineStr">
        <is>
          <t>Boureima Ouédraogo</t>
        </is>
      </c>
      <c r="F259" t="inlineStr">
        <is>
          <t>20454</t>
        </is>
      </c>
      <c r="G259" t="inlineStr">
        <is>
          <t>Enduit de rebouchage 5 kg — réf 2</t>
        </is>
      </c>
      <c r="H259" t="inlineStr">
        <is>
          <t>Peinture</t>
        </is>
      </c>
      <c r="I259" t="inlineStr">
        <is>
          <t>18</t>
        </is>
      </c>
      <c r="J259" t="inlineStr">
        <is>
          <t>4725</t>
        </is>
      </c>
      <c r="K259" t="inlineStr">
        <is>
          <t>0.04</t>
        </is>
      </c>
      <c r="L259" t="inlineStr">
        <is>
          <t>81648</t>
        </is>
      </c>
      <c r="M259" t="inlineStr">
        <is>
          <t>96 345</t>
        </is>
      </c>
    </row>
    <row r="260">
      <c r="A260" t="inlineStr">
        <is>
          <t>T05-250702-096498</t>
        </is>
      </c>
      <c r="B260" t="inlineStr">
        <is>
          <t>2025-07-02</t>
        </is>
      </c>
      <c r="C260" t="inlineStr">
        <is>
          <t>07:15</t>
        </is>
      </c>
      <c r="D260" t="inlineStr">
        <is>
          <t>Magasin 5 — Kaya Marché</t>
        </is>
      </c>
      <c r="E260" t="inlineStr">
        <is>
          <t>Salamatu Sankara</t>
        </is>
      </c>
      <c r="F260" t="inlineStr">
        <is>
          <t>6878</t>
        </is>
      </c>
      <c r="G260" t="inlineStr">
        <is>
          <t>Tout-venant (m3) — réf 2</t>
        </is>
      </c>
      <c r="H260" t="inlineStr">
        <is>
          <t>Matériaux</t>
        </is>
      </c>
      <c r="I260" t="inlineStr">
        <is>
          <t>3</t>
        </is>
      </c>
      <c r="J260" t="inlineStr">
        <is>
          <t>23475</t>
        </is>
      </c>
      <c r="K260" t="inlineStr">
        <is>
          <t>0.04</t>
        </is>
      </c>
      <c r="L260" t="inlineStr">
        <is>
          <t>67608</t>
        </is>
      </c>
      <c r="M260" t="inlineStr">
        <is>
          <t>79 777</t>
        </is>
      </c>
    </row>
    <row r="261">
      <c r="A261" t="inlineStr">
        <is>
          <t>T05-250702-096499</t>
        </is>
      </c>
      <c r="B261" t="inlineStr">
        <is>
          <t>2025-07-02</t>
        </is>
      </c>
      <c r="C261" t="inlineStr">
        <is>
          <t>08:21</t>
        </is>
      </c>
      <c r="D261" t="inlineStr">
        <is>
          <t>Magasin 5 — Kaya Marché</t>
        </is>
      </c>
      <c r="E261" t="inlineStr">
        <is>
          <t>Adama Bationo</t>
        </is>
      </c>
      <c r="F261" t="inlineStr">
        <is>
          <t>6419</t>
        </is>
      </c>
      <c r="G261" t="inlineStr">
        <is>
          <t>Gravier 15/25 (m3) — réf 2</t>
        </is>
      </c>
      <c r="H261" t="inlineStr">
        <is>
          <t>Matériaux</t>
        </is>
      </c>
      <c r="I261" t="inlineStr">
        <is>
          <t>5</t>
        </is>
      </c>
      <c r="J261" t="inlineStr">
        <is>
          <t>21425</t>
        </is>
      </c>
      <c r="K261" t="inlineStr">
        <is>
          <t>0.08</t>
        </is>
      </c>
      <c r="L261" t="inlineStr">
        <is>
          <t>98555</t>
        </is>
      </c>
      <c r="M261" t="inlineStr">
        <is>
          <t>116 295</t>
        </is>
      </c>
    </row>
    <row r="262">
      <c r="A262" t="inlineStr">
        <is>
          <t>T05-250702-096499</t>
        </is>
      </c>
      <c r="B262" t="inlineStr">
        <is>
          <t>2025-07-02</t>
        </is>
      </c>
      <c r="C262" t="inlineStr">
        <is>
          <t>13:35</t>
        </is>
      </c>
      <c r="D262" t="inlineStr">
        <is>
          <t>Magasin 5 — Kaya Marché</t>
        </is>
      </c>
      <c r="E262" t="inlineStr">
        <is>
          <t>Moussa Ilboudo</t>
        </is>
      </c>
      <c r="F262" t="inlineStr">
        <is>
          <t>5767</t>
        </is>
      </c>
      <c r="G262" t="inlineStr">
        <is>
          <t>Fer à béton 8 mm (barre) — réf 1</t>
        </is>
      </c>
      <c r="H262" t="inlineStr">
        <is>
          <t>Quincaillerie</t>
        </is>
      </c>
      <c r="I262" t="inlineStr">
        <is>
          <t>1</t>
        </is>
      </c>
      <c r="J262" t="inlineStr">
        <is>
          <t>1525</t>
        </is>
      </c>
      <c r="K262" t="inlineStr">
        <is>
          <t>0.0</t>
        </is>
      </c>
      <c r="L262" t="inlineStr">
        <is>
          <t>1525</t>
        </is>
      </c>
      <c r="M262" t="inlineStr">
        <is>
          <t>1 799</t>
        </is>
      </c>
    </row>
    <row r="263">
      <c r="A263" t="inlineStr">
        <is>
          <t>T05-250702-096499</t>
        </is>
      </c>
      <c r="B263" t="inlineStr">
        <is>
          <t>2025-07-02</t>
        </is>
      </c>
      <c r="C263" t="inlineStr">
        <is>
          <t>08:48</t>
        </is>
      </c>
      <c r="D263" t="inlineStr">
        <is>
          <t>Magasin 5 — Kaya Marché</t>
        </is>
      </c>
      <c r="E263" t="inlineStr">
        <is>
          <t>Salamatu Sankara</t>
        </is>
      </c>
      <c r="F263" t="inlineStr">
        <is>
          <t>0</t>
        </is>
      </c>
      <c r="G263" t="inlineStr">
        <is>
          <t>Marteau de menuisier — réf 1</t>
        </is>
      </c>
      <c r="H263" t="inlineStr">
        <is>
          <t>Quincaillerie</t>
        </is>
      </c>
      <c r="I263" t="inlineStr">
        <is>
          <t>3</t>
        </is>
      </c>
      <c r="J263" t="inlineStr">
        <is>
          <t>9375</t>
        </is>
      </c>
      <c r="K263" t="inlineStr">
        <is>
          <t>0.0</t>
        </is>
      </c>
      <c r="L263" t="inlineStr">
        <is>
          <t>28125</t>
        </is>
      </c>
      <c r="M263" t="inlineStr">
        <is>
          <t>33 187</t>
        </is>
      </c>
    </row>
    <row r="264">
      <c r="A264" t="inlineStr">
        <is>
          <t>T05-250702-096499</t>
        </is>
      </c>
      <c r="B264" t="inlineStr">
        <is>
          <t>2025-07-02</t>
        </is>
      </c>
      <c r="C264" t="inlineStr">
        <is>
          <t>08:48</t>
        </is>
      </c>
      <c r="D264" t="inlineStr">
        <is>
          <t>Magasin 5 — Kaya Marché</t>
        </is>
      </c>
      <c r="E264" t="inlineStr">
        <is>
          <t>Salamatu Sankara</t>
        </is>
      </c>
      <c r="F264" t="inlineStr">
        <is>
          <t>0</t>
        </is>
      </c>
      <c r="G264" t="inlineStr">
        <is>
          <t>Marteau de menuisier — réf 1</t>
        </is>
      </c>
      <c r="H264" t="inlineStr">
        <is>
          <t>Quincaillerie</t>
        </is>
      </c>
      <c r="I264" t="inlineStr">
        <is>
          <t>3</t>
        </is>
      </c>
      <c r="J264" t="inlineStr">
        <is>
          <t>9375</t>
        </is>
      </c>
      <c r="K264" t="inlineStr">
        <is>
          <t>0.0</t>
        </is>
      </c>
      <c r="L264" t="inlineStr">
        <is>
          <t>28125</t>
        </is>
      </c>
      <c r="M264" t="inlineStr">
        <is>
          <t>33 187</t>
        </is>
      </c>
    </row>
    <row r="265">
      <c r="A265" t="inlineStr">
        <is>
          <t>T05-250702-096500</t>
        </is>
      </c>
      <c r="B265" t="inlineStr">
        <is>
          <t>2025-07-02</t>
        </is>
      </c>
      <c r="C265" t="inlineStr">
        <is>
          <t>13:32</t>
        </is>
      </c>
      <c r="D265" t="inlineStr">
        <is>
          <t>Magasin 5 — Kaya Marché</t>
        </is>
      </c>
      <c r="E265" t="inlineStr">
        <is>
          <t>Adama Bationo</t>
        </is>
      </c>
      <c r="F265" t="inlineStr">
        <is>
          <t>10406</t>
        </is>
      </c>
      <c r="G265" t="inlineStr">
        <is>
          <t>Antirouille rouge brique 1 L — réf 2</t>
        </is>
      </c>
      <c r="H265" t="inlineStr">
        <is>
          <t>Peinture</t>
        </is>
      </c>
      <c r="I265" t="inlineStr">
        <is>
          <t>13</t>
        </is>
      </c>
      <c r="J265" t="inlineStr">
        <is>
          <t>6900</t>
        </is>
      </c>
      <c r="K265" t="inlineStr">
        <is>
          <t>0.11</t>
        </is>
      </c>
      <c r="L265" t="inlineStr">
        <is>
          <t>79833</t>
        </is>
      </c>
      <c r="M265" t="inlineStr">
        <is>
          <t>94 203</t>
        </is>
      </c>
    </row>
    <row r="266">
      <c r="A266" t="inlineStr">
        <is>
          <t>T05-250702-096500</t>
        </is>
      </c>
      <c r="B266" t="inlineStr">
        <is>
          <t>2025-07-02</t>
        </is>
      </c>
      <c r="C266" t="inlineStr">
        <is>
          <t>17:25</t>
        </is>
      </c>
      <c r="D266" t="inlineStr">
        <is>
          <t>Magasin 5 — Kaya Marché</t>
        </is>
      </c>
      <c r="E266" t="inlineStr">
        <is>
          <t>Salamatu Sankara</t>
        </is>
      </c>
      <c r="F266" t="inlineStr">
        <is>
          <t>16310</t>
        </is>
      </c>
      <c r="G266" t="inlineStr">
        <is>
          <t>Niveau à bulle 600 mm — réf 1</t>
        </is>
      </c>
      <c r="H266" t="inlineStr">
        <is>
          <t>Quincaillerie</t>
        </is>
      </c>
      <c r="I266" t="inlineStr">
        <is>
          <t>3</t>
        </is>
      </c>
      <c r="J266" t="inlineStr">
        <is>
          <t>9275</t>
        </is>
      </c>
      <c r="K266" t="inlineStr">
        <is>
          <t>0.0</t>
        </is>
      </c>
      <c r="L266" t="inlineStr">
        <is>
          <t>27825</t>
        </is>
      </c>
      <c r="M266" t="inlineStr">
        <is>
          <t>32 833</t>
        </is>
      </c>
    </row>
    <row r="267">
      <c r="A267" t="inlineStr">
        <is>
          <t>T05-250702-096500</t>
        </is>
      </c>
      <c r="B267" t="inlineStr">
        <is>
          <t>2025-07-02</t>
        </is>
      </c>
      <c r="C267" t="inlineStr">
        <is>
          <t>12:02</t>
        </is>
      </c>
      <c r="D267" t="inlineStr">
        <is>
          <t>Magasin 5 — Kaya Marché</t>
        </is>
      </c>
      <c r="E267" t="inlineStr">
        <is>
          <t>Adama Bationo</t>
        </is>
      </c>
      <c r="F267" t="inlineStr">
        <is>
          <t>17715</t>
        </is>
      </c>
      <c r="G267" t="inlineStr">
        <is>
          <t>Câble 2x1,5 (rouleau 100 m) — réf 2</t>
        </is>
      </c>
      <c r="H267" t="inlineStr">
        <is>
          <t>Electricité</t>
        </is>
      </c>
      <c r="I267" t="inlineStr">
        <is>
          <t>2</t>
        </is>
      </c>
      <c r="J267" t="inlineStr">
        <is>
          <t>9725</t>
        </is>
      </c>
      <c r="K267" t="inlineStr">
        <is>
          <t>0.11</t>
        </is>
      </c>
      <c r="L267" t="inlineStr">
        <is>
          <t>17310</t>
        </is>
      </c>
      <c r="M267" t="inlineStr">
        <is>
          <t>20 426</t>
        </is>
      </c>
    </row>
    <row r="268">
      <c r="A268" t="inlineStr">
        <is>
          <t>T05-250702-096501</t>
        </is>
      </c>
      <c r="B268" t="inlineStr">
        <is>
          <t>2025-07-02</t>
        </is>
      </c>
      <c r="C268" t="inlineStr">
        <is>
          <t>14:12</t>
        </is>
      </c>
      <c r="D268" t="inlineStr">
        <is>
          <t>Magasin 5 — Kaya Marché</t>
        </is>
      </c>
      <c r="E268" t="inlineStr">
        <is>
          <t>Salamatu Sankara</t>
        </is>
      </c>
      <c r="F268" t="inlineStr">
        <is>
          <t>16142</t>
        </is>
      </c>
      <c r="G268" t="inlineStr">
        <is>
          <t>Tube PVC évacuation 100 mm (ml) — réf 2</t>
        </is>
      </c>
      <c r="H268" t="inlineStr">
        <is>
          <t>Plomberie</t>
        </is>
      </c>
      <c r="I268" t="inlineStr">
        <is>
          <t>3</t>
        </is>
      </c>
      <c r="J268" t="inlineStr">
        <is>
          <t>3825</t>
        </is>
      </c>
      <c r="K268" t="inlineStr">
        <is>
          <t>0.0</t>
        </is>
      </c>
      <c r="L268" t="inlineStr">
        <is>
          <t>11475</t>
        </is>
      </c>
      <c r="M268" t="inlineStr">
        <is>
          <t>13 541</t>
        </is>
      </c>
    </row>
    <row r="269">
      <c r="A269" t="inlineStr">
        <is>
          <t>T05-250702-096501</t>
        </is>
      </c>
      <c r="B269" t="inlineStr">
        <is>
          <t>2025-07-02</t>
        </is>
      </c>
      <c r="C269" t="inlineStr">
        <is>
          <t>07:18</t>
        </is>
      </c>
      <c r="D269" t="inlineStr">
        <is>
          <t>Magasin 5 — Kaya Marché</t>
        </is>
      </c>
      <c r="E269" t="inlineStr">
        <is>
          <t>Moussa Ilboudo</t>
        </is>
      </c>
      <c r="F269" t="inlineStr">
        <is>
          <t>14952</t>
        </is>
      </c>
      <c r="G269" t="inlineStr">
        <is>
          <t>Brique de terre cuite — réf 1</t>
        </is>
      </c>
      <c r="H269" t="inlineStr">
        <is>
          <t>Matériaux</t>
        </is>
      </c>
      <c r="I269" t="inlineStr">
        <is>
          <t>14</t>
        </is>
      </c>
      <c r="J269" t="inlineStr">
        <is>
          <t>1075</t>
        </is>
      </c>
      <c r="K269" t="inlineStr">
        <is>
          <t>0.04</t>
        </is>
      </c>
      <c r="L269" t="inlineStr">
        <is>
          <t>14448</t>
        </is>
      </c>
      <c r="M269" t="inlineStr">
        <is>
          <t>17 049</t>
        </is>
      </c>
    </row>
    <row r="270">
      <c r="A270" t="inlineStr">
        <is>
          <t>T05-250702-096501</t>
        </is>
      </c>
      <c r="B270" t="inlineStr">
        <is>
          <t>2025-07-02</t>
        </is>
      </c>
      <c r="C270" t="inlineStr">
        <is>
          <t>07:15</t>
        </is>
      </c>
      <c r="D270" t="inlineStr">
        <is>
          <t>Magasin 5 — Kaya Marché</t>
        </is>
      </c>
      <c r="E270" t="inlineStr">
        <is>
          <t>Adama Bationo</t>
        </is>
      </c>
      <c r="F270" t="inlineStr">
        <is>
          <t>10589</t>
        </is>
      </c>
      <c r="G270" t="inlineStr">
        <is>
          <t>Pince coupante 200 mm — réf 2</t>
        </is>
      </c>
      <c r="H270" t="inlineStr">
        <is>
          <t>Quincaillerie</t>
        </is>
      </c>
      <c r="I270" t="inlineStr">
        <is>
          <t>6</t>
        </is>
      </c>
      <c r="J270" t="inlineStr">
        <is>
          <t>10200</t>
        </is>
      </c>
      <c r="K270" t="inlineStr">
        <is>
          <t>0.0</t>
        </is>
      </c>
      <c r="L270" t="inlineStr">
        <is>
          <t>61200</t>
        </is>
      </c>
      <c r="M270" t="inlineStr">
        <is>
          <t>72 216</t>
        </is>
      </c>
    </row>
    <row r="271">
      <c r="A271" t="inlineStr">
        <is>
          <t>T05-250702-096502</t>
        </is>
      </c>
      <c r="B271" t="inlineStr">
        <is>
          <t>2025-07-02</t>
        </is>
      </c>
      <c r="C271" t="inlineStr">
        <is>
          <t>16:34</t>
        </is>
      </c>
      <c r="D271" t="inlineStr">
        <is>
          <t>Magasin 5 — Kaya Marché</t>
        </is>
      </c>
      <c r="E271" t="inlineStr">
        <is>
          <t>Boureima Ouédraogo</t>
        </is>
      </c>
      <c r="F271" t="inlineStr">
        <is>
          <t>10989</t>
        </is>
      </c>
      <c r="G271" t="inlineStr">
        <is>
          <t>Hourdis creux 12 — réf 1</t>
        </is>
      </c>
      <c r="H271" t="inlineStr">
        <is>
          <t>Matériaux</t>
        </is>
      </c>
      <c r="I271" t="inlineStr">
        <is>
          <t>5</t>
        </is>
      </c>
      <c r="J271" t="inlineStr">
        <is>
          <t>1075</t>
        </is>
      </c>
      <c r="K271" t="inlineStr">
        <is>
          <t>0.0</t>
        </is>
      </c>
      <c r="L271" t="inlineStr">
        <is>
          <t>5375</t>
        </is>
      </c>
      <c r="M271" t="inlineStr">
        <is>
          <t>6 343</t>
        </is>
      </c>
    </row>
    <row r="272">
      <c r="A272" t="inlineStr">
        <is>
          <t>T05-250702-096502</t>
        </is>
      </c>
      <c r="B272" t="inlineStr">
        <is>
          <t>02/07/2025</t>
        </is>
      </c>
      <c r="C272" t="inlineStr">
        <is>
          <t>14:09</t>
        </is>
      </c>
      <c r="D272" t="inlineStr">
        <is>
          <t>Magasin 5 — Kaya Marché</t>
        </is>
      </c>
      <c r="E272" t="inlineStr">
        <is>
          <t>Moussa Ilboudo</t>
        </is>
      </c>
      <c r="F272" t="inlineStr">
        <is>
          <t>3371</t>
        </is>
      </c>
      <c r="G272" t="inlineStr">
        <is>
          <t>Écrou hexagonal 10 (sachet) — réf 2</t>
        </is>
      </c>
      <c r="H272" t="inlineStr">
        <is>
          <t>Quincaillerie</t>
        </is>
      </c>
      <c r="I272" t="inlineStr">
        <is>
          <t>19</t>
        </is>
      </c>
      <c r="J272" t="inlineStr">
        <is>
          <t>2150</t>
        </is>
      </c>
      <c r="K272" t="inlineStr">
        <is>
          <t>0.0</t>
        </is>
      </c>
      <c r="L272" t="inlineStr">
        <is>
          <t>40850</t>
        </is>
      </c>
      <c r="M272" t="inlineStr">
        <is>
          <t>48 203</t>
        </is>
      </c>
    </row>
    <row r="273">
      <c r="A273" t="inlineStr">
        <is>
          <t>T05-250702-096502</t>
        </is>
      </c>
      <c r="B273" t="inlineStr">
        <is>
          <t>2025-07-02</t>
        </is>
      </c>
      <c r="C273" t="inlineStr">
        <is>
          <t>15:09</t>
        </is>
      </c>
      <c r="D273" t="inlineStr">
        <is>
          <t>Magasin 5 — Kaya Marché</t>
        </is>
      </c>
      <c r="E273" t="inlineStr">
        <is>
          <t>Boureima Ouédraogo</t>
        </is>
      </c>
      <c r="F273" t="inlineStr">
        <is>
          <t>10564</t>
        </is>
      </c>
      <c r="G273" t="inlineStr">
        <is>
          <t>Baguette de finition 2,4 m — réf 2</t>
        </is>
      </c>
      <c r="H273" t="inlineStr">
        <is>
          <t>Bois &amp; panneaux</t>
        </is>
      </c>
      <c r="I273" t="inlineStr">
        <is>
          <t>8</t>
        </is>
      </c>
      <c r="J273" t="inlineStr">
        <is>
          <t>14600</t>
        </is>
      </c>
      <c r="K273" t="inlineStr">
        <is>
          <t>0.0</t>
        </is>
      </c>
      <c r="L273" t="inlineStr">
        <is>
          <t>116800</t>
        </is>
      </c>
      <c r="M273" t="inlineStr">
        <is>
          <t>137 824</t>
        </is>
      </c>
    </row>
    <row r="274">
      <c r="A274" t="inlineStr">
        <is>
          <t>T05-250702-096503</t>
        </is>
      </c>
      <c r="B274" t="inlineStr">
        <is>
          <t>2025-07-02</t>
        </is>
      </c>
      <c r="C274" t="inlineStr">
        <is>
          <t>11:48</t>
        </is>
      </c>
      <c r="D274" t="inlineStr">
        <is>
          <t>Magasin 5 — Kaya Marché</t>
        </is>
      </c>
      <c r="E274" t="inlineStr">
        <is>
          <t>Boureima Ouédraogo</t>
        </is>
      </c>
      <c r="F274" t="inlineStr">
        <is>
          <t>2526</t>
        </is>
      </c>
      <c r="G274" t="inlineStr">
        <is>
          <t>Marteau de menuisier — réf 1</t>
        </is>
      </c>
      <c r="H274" t="inlineStr">
        <is>
          <t>Quincaillerie</t>
        </is>
      </c>
      <c r="I274" t="inlineStr">
        <is>
          <t>1</t>
        </is>
      </c>
      <c r="J274" t="inlineStr">
        <is>
          <t>9475</t>
        </is>
      </c>
      <c r="K274" t="inlineStr">
        <is>
          <t>0.0</t>
        </is>
      </c>
      <c r="L274" t="inlineStr">
        <is>
          <t>9475</t>
        </is>
      </c>
      <c r="M274" t="inlineStr">
        <is>
          <t>11 181</t>
        </is>
      </c>
    </row>
    <row r="275">
      <c r="A275" t="inlineStr">
        <is>
          <t>T05-250702-096503</t>
        </is>
      </c>
      <c r="B275" t="inlineStr">
        <is>
          <t>02/07/2025</t>
        </is>
      </c>
      <c r="C275" t="inlineStr">
        <is>
          <t>08:54</t>
        </is>
      </c>
      <c r="D275" t="inlineStr">
        <is>
          <t>Magasin 5 — Kaya Marché</t>
        </is>
      </c>
      <c r="E275" t="inlineStr">
        <is>
          <t>Adama Bationo</t>
        </is>
      </c>
      <c r="F275" t="inlineStr">
        <is>
          <t>18276</t>
        </is>
      </c>
      <c r="G275" t="inlineStr">
        <is>
          <t>Scie égoïne 500 mm — réf 1</t>
        </is>
      </c>
      <c r="H275" t="inlineStr">
        <is>
          <t>Quincaillerie</t>
        </is>
      </c>
      <c r="I275" t="inlineStr">
        <is>
          <t>1</t>
        </is>
      </c>
      <c r="J275" t="inlineStr">
        <is>
          <t>10900</t>
        </is>
      </c>
      <c r="K275" t="inlineStr">
        <is>
          <t>0.0</t>
        </is>
      </c>
      <c r="L275" t="inlineStr">
        <is>
          <t>10900</t>
        </is>
      </c>
      <c r="M275" t="inlineStr">
        <is>
          <t>12 862</t>
        </is>
      </c>
    </row>
    <row r="276">
      <c r="A276" t="inlineStr">
        <is>
          <t>T05-250702-096503</t>
        </is>
      </c>
      <c r="B276" t="inlineStr">
        <is>
          <t>2025-07-02</t>
        </is>
      </c>
      <c r="C276" t="inlineStr">
        <is>
          <t>07:05</t>
        </is>
      </c>
      <c r="D276" t="inlineStr">
        <is>
          <t>Magasin 5 — Kaya Marché</t>
        </is>
      </c>
      <c r="E276" t="inlineStr">
        <is>
          <t>Boureima Ouédraogo</t>
        </is>
      </c>
      <c r="F276" t="inlineStr">
        <is>
          <t>0</t>
        </is>
      </c>
      <c r="G276" t="inlineStr">
        <is>
          <t>Carreau de pavement 40x40 — réf 1</t>
        </is>
      </c>
      <c r="H276" t="inlineStr">
        <is>
          <t>Matériaux</t>
        </is>
      </c>
      <c r="I276" t="inlineStr">
        <is>
          <t>3</t>
        </is>
      </c>
      <c r="J276" t="inlineStr">
        <is>
          <t>1025</t>
        </is>
      </c>
      <c r="K276" t="inlineStr">
        <is>
          <t>0.0</t>
        </is>
      </c>
      <c r="L276" t="inlineStr">
        <is>
          <t>3075</t>
        </is>
      </c>
      <c r="M276" t="inlineStr">
        <is>
          <t>3 629</t>
        </is>
      </c>
    </row>
    <row r="277">
      <c r="A277" t="inlineStr">
        <is>
          <t>T05-250702-096504</t>
        </is>
      </c>
      <c r="B277" t="inlineStr">
        <is>
          <t>2025-07-02</t>
        </is>
      </c>
      <c r="C277" t="inlineStr">
        <is>
          <t>14:36</t>
        </is>
      </c>
      <c r="D277" t="inlineStr">
        <is>
          <t>Magasin 5 — Kaya Marché</t>
        </is>
      </c>
      <c r="E277" t="inlineStr">
        <is>
          <t>Adama Bationo</t>
        </is>
      </c>
      <c r="F277" t="inlineStr">
        <is>
          <t>3825</t>
        </is>
      </c>
      <c r="G277" t="inlineStr">
        <is>
          <t>Fil de fer recuit (kg) — réf 2</t>
        </is>
      </c>
      <c r="H277" t="inlineStr">
        <is>
          <t>Quincaillerie</t>
        </is>
      </c>
      <c r="I277" t="inlineStr">
        <is>
          <t>4</t>
        </is>
      </c>
      <c r="J277" t="inlineStr">
        <is>
          <t>2000</t>
        </is>
      </c>
      <c r="K277" t="inlineStr">
        <is>
          <t>0.0</t>
        </is>
      </c>
      <c r="L277" t="inlineStr">
        <is>
          <t>8000</t>
        </is>
      </c>
      <c r="M277" t="inlineStr">
        <is>
          <t>9 440</t>
        </is>
      </c>
    </row>
    <row r="278">
      <c r="A278" t="inlineStr">
        <is>
          <t>T05-250702-096504</t>
        </is>
      </c>
      <c r="B278" t="inlineStr">
        <is>
          <t>2025-07-02</t>
        </is>
      </c>
      <c r="C278" t="inlineStr">
        <is>
          <t>14:58</t>
        </is>
      </c>
      <c r="D278" t="inlineStr">
        <is>
          <t>Magasin 5 — Kaya Marché</t>
        </is>
      </c>
      <c r="E278" t="inlineStr">
        <is>
          <t>Adama Bationo</t>
        </is>
      </c>
      <c r="F278" t="inlineStr">
        <is>
          <t>18844</t>
        </is>
      </c>
      <c r="G278" t="inlineStr">
        <is>
          <t>Parpaing 15 aggloméré — réf 2</t>
        </is>
      </c>
      <c r="H278" t="inlineStr">
        <is>
          <t>Matériaux</t>
        </is>
      </c>
      <c r="I278" t="inlineStr">
        <is>
          <t>9</t>
        </is>
      </c>
      <c r="J278" t="inlineStr">
        <is>
          <t>1400</t>
        </is>
      </c>
      <c r="K278" t="inlineStr">
        <is>
          <t>0.08</t>
        </is>
      </c>
      <c r="L278" t="inlineStr">
        <is>
          <t>11592</t>
        </is>
      </c>
      <c r="M278" t="inlineStr">
        <is>
          <t>13 679</t>
        </is>
      </c>
    </row>
    <row r="279">
      <c r="A279" t="inlineStr">
        <is>
          <t>T05-250703-096584</t>
        </is>
      </c>
      <c r="B279" t="inlineStr">
        <is>
          <t>2025-07-03</t>
        </is>
      </c>
      <c r="C279" t="inlineStr">
        <is>
          <t>14:56</t>
        </is>
      </c>
      <c r="D279" t="inlineStr">
        <is>
          <t>Magasin 5 — Kaya Marché</t>
        </is>
      </c>
      <c r="E279" t="inlineStr">
        <is>
          <t>Salamatu Sankara</t>
        </is>
      </c>
      <c r="F279" t="inlineStr">
        <is>
          <t>16979</t>
        </is>
      </c>
      <c r="G279" t="inlineStr">
        <is>
          <t>Robinet mitigeur évier — réf 2</t>
        </is>
      </c>
      <c r="H279" t="inlineStr">
        <is>
          <t>Plomberie</t>
        </is>
      </c>
      <c r="I279" t="inlineStr">
        <is>
          <t>9</t>
        </is>
      </c>
      <c r="J279" t="inlineStr">
        <is>
          <t>36275</t>
        </is>
      </c>
      <c r="K279" t="inlineStr">
        <is>
          <t>0.04</t>
        </is>
      </c>
      <c r="L279" t="inlineStr">
        <is>
          <t>313416</t>
        </is>
      </c>
      <c r="M279" t="inlineStr">
        <is>
          <t>369 831</t>
        </is>
      </c>
    </row>
    <row r="280">
      <c r="A280" t="inlineStr">
        <is>
          <t>T05-250703-096584</t>
        </is>
      </c>
      <c r="B280" t="inlineStr">
        <is>
          <t>2025-07-03</t>
        </is>
      </c>
      <c r="C280" t="inlineStr">
        <is>
          <t>17:47</t>
        </is>
      </c>
      <c r="D280" t="inlineStr">
        <is>
          <t>Magasin 5 — Kaya Marché</t>
        </is>
      </c>
      <c r="E280" t="inlineStr">
        <is>
          <t>Boureima Ouédraogo</t>
        </is>
      </c>
      <c r="F280" t="inlineStr">
        <is>
          <t>0</t>
        </is>
      </c>
      <c r="G280" t="inlineStr">
        <is>
          <t>Antirouille rouge brique 1 L — réf 1</t>
        </is>
      </c>
      <c r="H280" t="inlineStr">
        <is>
          <t>Peinture</t>
        </is>
      </c>
      <c r="I280" t="inlineStr">
        <is>
          <t>20</t>
        </is>
      </c>
      <c r="J280" t="inlineStr">
        <is>
          <t>5250</t>
        </is>
      </c>
      <c r="K280" t="inlineStr">
        <is>
          <t>0.0</t>
        </is>
      </c>
      <c r="L280" t="inlineStr">
        <is>
          <t>105000</t>
        </is>
      </c>
      <c r="M280" t="inlineStr">
        <is>
          <t>123 900</t>
        </is>
      </c>
    </row>
    <row r="281">
      <c r="A281" t="inlineStr">
        <is>
          <t>T05-250703-096584</t>
        </is>
      </c>
      <c r="B281" t="inlineStr">
        <is>
          <t>2025-07-03</t>
        </is>
      </c>
      <c r="C281" t="inlineStr">
        <is>
          <t>10:58</t>
        </is>
      </c>
      <c r="D281" t="inlineStr">
        <is>
          <t>Magasin 5 — Kaya Marché</t>
        </is>
      </c>
      <c r="E281" t="inlineStr">
        <is>
          <t>Boureima Ouédraogo</t>
        </is>
      </c>
      <c r="F281" t="inlineStr">
        <is>
          <t>1117</t>
        </is>
      </c>
      <c r="G281" t="inlineStr">
        <is>
          <t>Projecteur LED 30 W — réf 1</t>
        </is>
      </c>
      <c r="H281" t="inlineStr">
        <is>
          <t>Electricité</t>
        </is>
      </c>
      <c r="I281" t="inlineStr">
        <is>
          <t>3</t>
        </is>
      </c>
      <c r="J281" t="inlineStr">
        <is>
          <t>9500</t>
        </is>
      </c>
      <c r="K281" t="inlineStr">
        <is>
          <t>0.04</t>
        </is>
      </c>
      <c r="L281" t="inlineStr">
        <is>
          <t>27360</t>
        </is>
      </c>
      <c r="M281" t="inlineStr">
        <is>
          <t>32 285</t>
        </is>
      </c>
    </row>
    <row r="282">
      <c r="A282" t="inlineStr">
        <is>
          <t>T05-250703-096585</t>
        </is>
      </c>
      <c r="B282" t="inlineStr">
        <is>
          <t>03/07/2025</t>
        </is>
      </c>
      <c r="C282" t="inlineStr">
        <is>
          <t>18:13</t>
        </is>
      </c>
      <c r="D282" t="inlineStr">
        <is>
          <t>Magasin 5 — Kaya Marché</t>
        </is>
      </c>
      <c r="E282" t="inlineStr">
        <is>
          <t>Salamatu Sankara</t>
        </is>
      </c>
      <c r="F282" t="inlineStr">
        <is>
          <t>21035</t>
        </is>
      </c>
      <c r="G282" t="inlineStr">
        <is>
          <t>Fil de fer recuit (kg) — réf 1</t>
        </is>
      </c>
      <c r="H282" t="inlineStr">
        <is>
          <t>Quincaillerie</t>
        </is>
      </c>
      <c r="I282" t="inlineStr">
        <is>
          <t>3</t>
        </is>
      </c>
      <c r="J282" t="inlineStr">
        <is>
          <t>1600</t>
        </is>
      </c>
      <c r="K282" t="inlineStr">
        <is>
          <t>0.04</t>
        </is>
      </c>
      <c r="L282" t="inlineStr">
        <is>
          <t>4608</t>
        </is>
      </c>
      <c r="M282" t="inlineStr">
        <is>
          <t>5 437</t>
        </is>
      </c>
    </row>
    <row r="283">
      <c r="A283" t="inlineStr">
        <is>
          <t>T05-250703-096585</t>
        </is>
      </c>
      <c r="B283" t="inlineStr">
        <is>
          <t>03/07/2025</t>
        </is>
      </c>
      <c r="C283" t="inlineStr">
        <is>
          <t>13:34</t>
        </is>
      </c>
      <c r="D283" t="inlineStr">
        <is>
          <t>Magasin 5 — Kaya Marché</t>
        </is>
      </c>
      <c r="E283" t="inlineStr">
        <is>
          <t>Moussa Ilboudo</t>
        </is>
      </c>
      <c r="F283" t="inlineStr">
        <is>
          <t>0</t>
        </is>
      </c>
      <c r="G283" t="inlineStr">
        <is>
          <t>Échelle aluminium 4 marches — réf 2</t>
        </is>
      </c>
      <c r="H283" t="inlineStr">
        <is>
          <t>Consommables</t>
        </is>
      </c>
      <c r="I283" t="inlineStr">
        <is>
          <t>6</t>
        </is>
      </c>
      <c r="J283" t="inlineStr">
        <is>
          <t>8650</t>
        </is>
      </c>
      <c r="K283" t="inlineStr">
        <is>
          <t>0.0</t>
        </is>
      </c>
      <c r="L283" t="inlineStr">
        <is>
          <t>51900</t>
        </is>
      </c>
      <c r="M283" t="inlineStr">
        <is>
          <t>61 242</t>
        </is>
      </c>
    </row>
    <row r="284">
      <c r="A284" t="inlineStr">
        <is>
          <t>T05-250703-096585</t>
        </is>
      </c>
      <c r="B284" t="inlineStr">
        <is>
          <t>2025-07-03</t>
        </is>
      </c>
      <c r="C284" t="inlineStr">
        <is>
          <t>18:50</t>
        </is>
      </c>
      <c r="D284" t="inlineStr">
        <is>
          <t>Magasin 5 — Kaya Marché</t>
        </is>
      </c>
      <c r="E284" t="inlineStr">
        <is>
          <t>Salamatu Sankara</t>
        </is>
      </c>
      <c r="F284" t="inlineStr">
        <is>
          <t>17623</t>
        </is>
      </c>
      <c r="G284" t="inlineStr">
        <is>
          <t>Clé plate 13 — réf 1</t>
        </is>
      </c>
      <c r="H284" t="inlineStr">
        <is>
          <t>Quincaillerie</t>
        </is>
      </c>
      <c r="I284" t="inlineStr">
        <is>
          <t>5</t>
        </is>
      </c>
      <c r="J284" t="inlineStr">
        <is>
          <t>9875</t>
        </is>
      </c>
      <c r="K284" t="inlineStr">
        <is>
          <t>0.0</t>
        </is>
      </c>
      <c r="L284" t="inlineStr">
        <is>
          <t>49375</t>
        </is>
      </c>
      <c r="M284" t="inlineStr">
        <is>
          <t>58 263</t>
        </is>
      </c>
    </row>
    <row r="285">
      <c r="A285" t="inlineStr">
        <is>
          <t>T05-250703-096586</t>
        </is>
      </c>
      <c r="B285" t="inlineStr">
        <is>
          <t>2025-07-03</t>
        </is>
      </c>
      <c r="C285" t="inlineStr">
        <is>
          <t>17:31</t>
        </is>
      </c>
      <c r="D285" t="inlineStr">
        <is>
          <t>Magasin 5 — Kaya Marché</t>
        </is>
      </c>
      <c r="E285" t="inlineStr">
        <is>
          <t>Salamatu Sankara</t>
        </is>
      </c>
      <c r="F285" t="inlineStr">
        <is>
          <t>17994</t>
        </is>
      </c>
      <c r="G285" t="inlineStr">
        <is>
          <t>Sable de rivière (m3) — réf 2</t>
        </is>
      </c>
      <c r="H285" t="inlineStr">
        <is>
          <t>Matériaux</t>
        </is>
      </c>
      <c r="I285" t="inlineStr">
        <is>
          <t>2</t>
        </is>
      </c>
      <c r="J285" t="inlineStr">
        <is>
          <t>26625</t>
        </is>
      </c>
      <c r="K285" t="inlineStr">
        <is>
          <t>0.07</t>
        </is>
      </c>
      <c r="L285" t="inlineStr">
        <is>
          <t>49522</t>
        </is>
      </c>
      <c r="M285" t="inlineStr">
        <is>
          <t>58 436</t>
        </is>
      </c>
    </row>
    <row r="286">
      <c r="A286" t="inlineStr">
        <is>
          <t>T05-250801-099076</t>
        </is>
      </c>
      <c r="B286" t="inlineStr">
        <is>
          <t>2025-08-01</t>
        </is>
      </c>
      <c r="C286" t="inlineStr">
        <is>
          <t>18:20</t>
        </is>
      </c>
      <c r="D286" t="inlineStr">
        <is>
          <t>Magasin 5 — Kaya Marché</t>
        </is>
      </c>
      <c r="E286" t="inlineStr">
        <is>
          <t>Boureima Ouédraogo</t>
        </is>
      </c>
      <c r="F286" t="inlineStr">
        <is>
          <t>0</t>
        </is>
      </c>
      <c r="G286" t="inlineStr">
        <is>
          <t>Parpaing 15 aggloméré — réf 1</t>
        </is>
      </c>
      <c r="H286" t="inlineStr">
        <is>
          <t>Matériaux</t>
        </is>
      </c>
      <c r="I286" t="inlineStr">
        <is>
          <t>14</t>
        </is>
      </c>
      <c r="J286" t="inlineStr">
        <is>
          <t>1450</t>
        </is>
      </c>
      <c r="K286" t="inlineStr">
        <is>
          <t>0.0</t>
        </is>
      </c>
      <c r="L286" t="inlineStr">
        <is>
          <t>20300</t>
        </is>
      </c>
      <c r="M286" t="inlineStr">
        <is>
          <t>23 954</t>
        </is>
      </c>
    </row>
    <row r="287">
      <c r="A287" t="inlineStr">
        <is>
          <t>T05-250801-099077</t>
        </is>
      </c>
      <c r="B287" t="inlineStr">
        <is>
          <t>2025-08-01</t>
        </is>
      </c>
      <c r="C287" t="inlineStr">
        <is>
          <t>12:36</t>
        </is>
      </c>
      <c r="D287" t="inlineStr">
        <is>
          <t>Magasin 5 — Kaya Marché</t>
        </is>
      </c>
      <c r="E287" t="inlineStr">
        <is>
          <t>Boureima Ouédraogo</t>
        </is>
      </c>
      <c r="F287" t="inlineStr">
        <is>
          <t>19801</t>
        </is>
      </c>
      <c r="G287" t="inlineStr">
        <is>
          <t>Disjoncteur 16 A — réf 1</t>
        </is>
      </c>
      <c r="H287" t="inlineStr">
        <is>
          <t>Electricité</t>
        </is>
      </c>
      <c r="I287" t="inlineStr">
        <is>
          <t>3</t>
        </is>
      </c>
      <c r="J287" t="inlineStr">
        <is>
          <t>10075</t>
        </is>
      </c>
      <c r="K287" t="inlineStr">
        <is>
          <t>0.0</t>
        </is>
      </c>
      <c r="L287" t="inlineStr">
        <is>
          <t>30225</t>
        </is>
      </c>
      <c r="M287" t="inlineStr">
        <is>
          <t>35 665</t>
        </is>
      </c>
    </row>
    <row r="288">
      <c r="A288" t="inlineStr">
        <is>
          <t>T05-250801-099078</t>
        </is>
      </c>
      <c r="B288" t="inlineStr">
        <is>
          <t>2025-08-01</t>
        </is>
      </c>
      <c r="C288" t="inlineStr">
        <is>
          <t>16:52</t>
        </is>
      </c>
      <c r="D288" t="inlineStr">
        <is>
          <t>Magasin 5 — Kaya Marché</t>
        </is>
      </c>
      <c r="E288" t="inlineStr">
        <is>
          <t>Salamatu Sankara</t>
        </is>
      </c>
      <c r="F288" t="inlineStr">
        <is>
          <t>14999</t>
        </is>
      </c>
      <c r="G288" t="inlineStr">
        <is>
          <t>Parpaing 15 aggloméré — réf 2</t>
        </is>
      </c>
      <c r="H288" t="inlineStr">
        <is>
          <t>Matériaux</t>
        </is>
      </c>
      <c r="I288" t="inlineStr">
        <is>
          <t>11</t>
        </is>
      </c>
      <c r="J288" t="inlineStr">
        <is>
          <t>1400</t>
        </is>
      </c>
      <c r="K288" t="inlineStr">
        <is>
          <t>0.04</t>
        </is>
      </c>
      <c r="L288" t="inlineStr">
        <is>
          <t>14784</t>
        </is>
      </c>
      <c r="M288" t="inlineStr">
        <is>
          <t>17 445</t>
        </is>
      </c>
    </row>
    <row r="289">
      <c r="A289" t="inlineStr">
        <is>
          <t>T05-250801-099079</t>
        </is>
      </c>
      <c r="B289" t="inlineStr">
        <is>
          <t>2025-08-01</t>
        </is>
      </c>
      <c r="C289" t="inlineStr">
        <is>
          <t>09:43</t>
        </is>
      </c>
      <c r="D289" t="inlineStr">
        <is>
          <t>Magasin 5 — Kaya Marché</t>
        </is>
      </c>
      <c r="E289" t="inlineStr">
        <is>
          <t>Moussa Ilboudo</t>
        </is>
      </c>
      <c r="F289" t="inlineStr">
        <is>
          <t>19250</t>
        </is>
      </c>
      <c r="G289" t="inlineStr">
        <is>
          <t>Pointe 100 mm (kg) — réf 1</t>
        </is>
      </c>
      <c r="H289" t="inlineStr">
        <is>
          <t>Quincaillerie</t>
        </is>
      </c>
      <c r="I289" t="inlineStr">
        <is>
          <t>3</t>
        </is>
      </c>
      <c r="J289" t="inlineStr">
        <is>
          <t>2525</t>
        </is>
      </c>
      <c r="K289" t="inlineStr">
        <is>
          <t>0.04</t>
        </is>
      </c>
      <c r="L289" t="inlineStr">
        <is>
          <t>7272</t>
        </is>
      </c>
      <c r="M289" t="inlineStr">
        <is>
          <t>8 581</t>
        </is>
      </c>
    </row>
    <row r="290">
      <c r="A290" t="inlineStr">
        <is>
          <t>T05-250801-099080</t>
        </is>
      </c>
      <c r="B290" t="inlineStr">
        <is>
          <t>2025-08-01</t>
        </is>
      </c>
      <c r="C290" t="inlineStr">
        <is>
          <t>09:41</t>
        </is>
      </c>
      <c r="D290" t="inlineStr">
        <is>
          <t>Magasin 5 — Kaya Marché</t>
        </is>
      </c>
      <c r="E290" t="inlineStr">
        <is>
          <t>Salamatu Sankara</t>
        </is>
      </c>
      <c r="F290" t="inlineStr">
        <is>
          <t>16857</t>
        </is>
      </c>
      <c r="G290" t="inlineStr">
        <is>
          <t>Fer à béton 8 mm (barre) — réf 1</t>
        </is>
      </c>
      <c r="H290" t="inlineStr">
        <is>
          <t>Quincaillerie</t>
        </is>
      </c>
      <c r="I290" t="inlineStr">
        <is>
          <t>3000</t>
        </is>
      </c>
      <c r="J290" t="inlineStr">
        <is>
          <t>1575</t>
        </is>
      </c>
      <c r="K290" t="inlineStr">
        <is>
          <t>0.0</t>
        </is>
      </c>
      <c r="L290" t="inlineStr">
        <is>
          <t>4725</t>
        </is>
      </c>
      <c r="M290" t="inlineStr">
        <is>
          <t>5 575</t>
        </is>
      </c>
    </row>
    <row r="291">
      <c r="A291" t="inlineStr">
        <is>
          <t>T05-250801-099081</t>
        </is>
      </c>
      <c r="B291" t="inlineStr">
        <is>
          <t>2025-08-01</t>
        </is>
      </c>
      <c r="C291" t="inlineStr">
        <is>
          <t>12:00</t>
        </is>
      </c>
      <c r="D291" t="inlineStr">
        <is>
          <t>Magasin 5 — Kaya Marché</t>
        </is>
      </c>
      <c r="E291" t="inlineStr">
        <is>
          <t>Moussa Ilboudo</t>
        </is>
      </c>
      <c r="F291" t="inlineStr">
        <is>
          <t>4004</t>
        </is>
      </c>
      <c r="G291" t="inlineStr">
        <is>
          <t>Lunettes de protection — réf 2</t>
        </is>
      </c>
      <c r="H291" t="inlineStr">
        <is>
          <t>Consommables</t>
        </is>
      </c>
      <c r="I291" t="inlineStr">
        <is>
          <t>1</t>
        </is>
      </c>
      <c r="J291" t="inlineStr">
        <is>
          <t>4800</t>
        </is>
      </c>
      <c r="K291" t="inlineStr">
        <is>
          <t>0.0</t>
        </is>
      </c>
      <c r="L291" t="inlineStr">
        <is>
          <t>4800</t>
        </is>
      </c>
      <c r="M291" t="inlineStr">
        <is>
          <t>5 664</t>
        </is>
      </c>
    </row>
    <row r="292">
      <c r="A292" t="inlineStr">
        <is>
          <t>T05-250801-099081</t>
        </is>
      </c>
      <c r="B292" t="inlineStr">
        <is>
          <t>2025-08-01</t>
        </is>
      </c>
      <c r="C292" t="inlineStr">
        <is>
          <t>12:00</t>
        </is>
      </c>
      <c r="D292" t="inlineStr">
        <is>
          <t>Magasin 5 — Kaya Marché</t>
        </is>
      </c>
      <c r="E292" t="inlineStr">
        <is>
          <t>Moussa Ilboudo</t>
        </is>
      </c>
      <c r="F292" t="inlineStr">
        <is>
          <t>4004</t>
        </is>
      </c>
      <c r="G292" t="inlineStr">
        <is>
          <t>Lunettes de protection — réf 2</t>
        </is>
      </c>
      <c r="H292" t="inlineStr">
        <is>
          <t>Consommables</t>
        </is>
      </c>
      <c r="I292" t="inlineStr">
        <is>
          <t>1</t>
        </is>
      </c>
      <c r="J292" t="inlineStr">
        <is>
          <t>4800</t>
        </is>
      </c>
      <c r="K292" t="inlineStr">
        <is>
          <t>0.0</t>
        </is>
      </c>
      <c r="L292" t="inlineStr">
        <is>
          <t>4800</t>
        </is>
      </c>
      <c r="M292" t="inlineStr">
        <is>
          <t>5 664</t>
        </is>
      </c>
    </row>
    <row r="293">
      <c r="A293" t="inlineStr">
        <is>
          <t>T05-250801-099082</t>
        </is>
      </c>
      <c r="B293" t="inlineStr">
        <is>
          <t>2025-08-01</t>
        </is>
      </c>
      <c r="C293" t="inlineStr">
        <is>
          <t>11:11</t>
        </is>
      </c>
      <c r="D293" t="inlineStr">
        <is>
          <t>Magasin 5 — Kaya Marché</t>
        </is>
      </c>
      <c r="E293" t="inlineStr">
        <is>
          <t>Adama Bationo</t>
        </is>
      </c>
      <c r="F293" t="inlineStr">
        <is>
          <t>6502</t>
        </is>
      </c>
      <c r="G293" t="inlineStr">
        <is>
          <t>Pelle carrée — réf 2</t>
        </is>
      </c>
      <c r="H293" t="inlineStr">
        <is>
          <t>Consommables</t>
        </is>
      </c>
      <c r="I293" t="inlineStr">
        <is>
          <t>2</t>
        </is>
      </c>
      <c r="J293" t="inlineStr">
        <is>
          <t>5250</t>
        </is>
      </c>
      <c r="K293" t="inlineStr">
        <is>
          <t>0.08</t>
        </is>
      </c>
      <c r="L293" t="inlineStr">
        <is>
          <t>9660</t>
        </is>
      </c>
      <c r="M293" t="inlineStr">
        <is>
          <t>11 399</t>
        </is>
      </c>
    </row>
    <row r="294">
      <c r="A294" t="inlineStr">
        <is>
          <t>T05-250801-099083</t>
        </is>
      </c>
      <c r="B294" t="inlineStr">
        <is>
          <t>2025-08-01</t>
        </is>
      </c>
      <c r="C294" t="inlineStr">
        <is>
          <t>17:56</t>
        </is>
      </c>
      <c r="D294" t="inlineStr">
        <is>
          <t>Magasin 5 — Kaya Marché</t>
        </is>
      </c>
      <c r="E294" t="inlineStr">
        <is>
          <t>Moussa Ilboudo</t>
        </is>
      </c>
      <c r="F294" t="inlineStr">
        <is>
          <t>0</t>
        </is>
      </c>
      <c r="G294" t="inlineStr">
        <is>
          <t>Peinture toiture 25 kg — réf 1</t>
        </is>
      </c>
      <c r="H294" t="inlineStr">
        <is>
          <t>Peinture</t>
        </is>
      </c>
      <c r="I294" t="inlineStr">
        <is>
          <t>5</t>
        </is>
      </c>
      <c r="J294" t="inlineStr">
        <is>
          <t>4025</t>
        </is>
      </c>
      <c r="K294" t="inlineStr">
        <is>
          <t>0.0</t>
        </is>
      </c>
      <c r="L294" t="inlineStr">
        <is>
          <t>20125</t>
        </is>
      </c>
      <c r="M294" t="inlineStr">
        <is>
          <t>23 747</t>
        </is>
      </c>
    </row>
    <row r="295">
      <c r="A295" t="inlineStr">
        <is>
          <t>T05-250801-099084</t>
        </is>
      </c>
      <c r="B295" t="inlineStr">
        <is>
          <t>2025-08-01</t>
        </is>
      </c>
      <c r="C295" t="inlineStr">
        <is>
          <t>16:16</t>
        </is>
      </c>
      <c r="D295" t="inlineStr">
        <is>
          <t>Magasin 5 — Kaya Marché</t>
        </is>
      </c>
      <c r="E295" t="inlineStr">
        <is>
          <t>Boureima Ouédraogo</t>
        </is>
      </c>
      <c r="F295" t="inlineStr">
        <is>
          <t>18638</t>
        </is>
      </c>
      <c r="G295" t="inlineStr">
        <is>
          <t>Cheville nylon 8 mm (sachet) — réf 2</t>
        </is>
      </c>
      <c r="H295" t="inlineStr">
        <is>
          <t>Quincaillerie</t>
        </is>
      </c>
      <c r="I295" t="inlineStr">
        <is>
          <t>1</t>
        </is>
      </c>
      <c r="J295" t="inlineStr">
        <is>
          <t>2050</t>
        </is>
      </c>
      <c r="K295" t="inlineStr">
        <is>
          <t>0.04</t>
        </is>
      </c>
      <c r="L295" t="inlineStr">
        <is>
          <t>1968</t>
        </is>
      </c>
      <c r="M295" t="inlineStr">
        <is>
          <t>2 322</t>
        </is>
      </c>
    </row>
    <row r="296">
      <c r="A296" t="inlineStr">
        <is>
          <t>T05-250801-099085</t>
        </is>
      </c>
      <c r="B296" t="inlineStr">
        <is>
          <t>2025-08-01</t>
        </is>
      </c>
      <c r="C296" t="inlineStr">
        <is>
          <t>12:44</t>
        </is>
      </c>
      <c r="D296" t="inlineStr">
        <is>
          <t>Magasin 5 — Kaya Marché</t>
        </is>
      </c>
      <c r="E296" t="inlineStr">
        <is>
          <t>Moussa Ilboudo</t>
        </is>
      </c>
      <c r="F296" t="inlineStr">
        <is>
          <t>0</t>
        </is>
      </c>
      <c r="G296" t="inlineStr">
        <is>
          <t>Ampoule LED 9 W — réf 1</t>
        </is>
      </c>
      <c r="H296" t="inlineStr">
        <is>
          <t>Electricité</t>
        </is>
      </c>
      <c r="I296" t="inlineStr">
        <is>
          <t>20</t>
        </is>
      </c>
      <c r="J296" t="inlineStr">
        <is>
          <t>9275</t>
        </is>
      </c>
      <c r="K296" t="inlineStr">
        <is>
          <t>0.0</t>
        </is>
      </c>
      <c r="L296" t="inlineStr">
        <is>
          <t>185500</t>
        </is>
      </c>
      <c r="M296" t="inlineStr">
        <is>
          <t>218 890</t>
        </is>
      </c>
    </row>
    <row r="297">
      <c r="A297" t="inlineStr">
        <is>
          <t>T05-250801-099086</t>
        </is>
      </c>
      <c r="B297" t="inlineStr">
        <is>
          <t>01/08/2025</t>
        </is>
      </c>
      <c r="C297" t="inlineStr">
        <is>
          <t>14:23</t>
        </is>
      </c>
      <c r="D297" t="inlineStr">
        <is>
          <t>Magasin 5 — Kaya Marché</t>
        </is>
      </c>
      <c r="E297" t="inlineStr">
        <is>
          <t>Boureima Ouédraogo</t>
        </is>
      </c>
      <c r="F297" t="inlineStr">
        <is>
          <t>728</t>
        </is>
      </c>
      <c r="G297" t="inlineStr">
        <is>
          <t>Brique de terre cuite — réf 1</t>
        </is>
      </c>
      <c r="H297" t="inlineStr">
        <is>
          <t>Matériaux</t>
        </is>
      </c>
      <c r="I297" t="inlineStr">
        <is>
          <t>1</t>
        </is>
      </c>
      <c r="J297" t="inlineStr">
        <is>
          <t>1050</t>
        </is>
      </c>
      <c r="K297" t="inlineStr">
        <is>
          <t>0.08</t>
        </is>
      </c>
      <c r="L297" t="inlineStr">
        <is>
          <t>966</t>
        </is>
      </c>
      <c r="M297" t="inlineStr">
        <is>
          <t>1 140</t>
        </is>
      </c>
    </row>
    <row r="298">
      <c r="A298" t="inlineStr">
        <is>
          <t>T05-250801-099087</t>
        </is>
      </c>
      <c r="B298" t="inlineStr">
        <is>
          <t>2025-08-01</t>
        </is>
      </c>
      <c r="C298" t="inlineStr">
        <is>
          <t>16:51</t>
        </is>
      </c>
      <c r="D298" t="inlineStr">
        <is>
          <t>Magasin 5 — Kaya Marché</t>
        </is>
      </c>
      <c r="E298" t="inlineStr">
        <is>
          <t>Adama Bationo</t>
        </is>
      </c>
      <c r="F298" t="inlineStr">
        <is>
          <t>6946</t>
        </is>
      </c>
      <c r="G298" t="inlineStr">
        <is>
          <t>Brouette en kit — réf 1</t>
        </is>
      </c>
      <c r="H298" t="inlineStr">
        <is>
          <t>Consommables</t>
        </is>
      </c>
      <c r="I298" t="inlineStr">
        <is>
          <t>7</t>
        </is>
      </c>
      <c r="J298" t="inlineStr">
        <is>
          <t>9675</t>
        </is>
      </c>
      <c r="K298" t="inlineStr">
        <is>
          <t>0.08</t>
        </is>
      </c>
      <c r="L298" t="inlineStr">
        <is>
          <t>62307</t>
        </is>
      </c>
      <c r="M298" t="inlineStr">
        <is>
          <t>73 522</t>
        </is>
      </c>
    </row>
    <row r="299">
      <c r="A299" t="inlineStr">
        <is>
          <t>T05-250801-099088</t>
        </is>
      </c>
      <c r="B299" t="inlineStr">
        <is>
          <t>01/08/2025</t>
        </is>
      </c>
      <c r="C299" t="inlineStr">
        <is>
          <t>07:34</t>
        </is>
      </c>
      <c r="D299" t="inlineStr">
        <is>
          <t>Magasin 5 — Kaya Marché</t>
        </is>
      </c>
      <c r="E299" t="inlineStr">
        <is>
          <t>Boureima Ouédraogo</t>
        </is>
      </c>
      <c r="F299" t="inlineStr">
        <is>
          <t>16254</t>
        </is>
      </c>
      <c r="G299" t="inlineStr">
        <is>
          <t>Chaux aérienne 25 kg — réf 1</t>
        </is>
      </c>
      <c r="H299" t="inlineStr">
        <is>
          <t>Matériaux</t>
        </is>
      </c>
      <c r="I299" t="inlineStr">
        <is>
          <t>2</t>
        </is>
      </c>
      <c r="J299" t="inlineStr">
        <is>
          <t>5250</t>
        </is>
      </c>
      <c r="K299" t="inlineStr">
        <is>
          <t>0.0</t>
        </is>
      </c>
      <c r="L299" t="inlineStr">
        <is>
          <t>10500</t>
        </is>
      </c>
      <c r="M299" t="inlineStr">
        <is>
          <t>12 390</t>
        </is>
      </c>
    </row>
    <row r="300">
      <c r="A300" t="inlineStr">
        <is>
          <t>T05-250801-099089</t>
        </is>
      </c>
      <c r="B300" t="inlineStr">
        <is>
          <t>2025-08-01</t>
        </is>
      </c>
      <c r="C300" t="inlineStr">
        <is>
          <t>11:08</t>
        </is>
      </c>
      <c r="D300" t="inlineStr">
        <is>
          <t>Magasin 5 — Kaya Marché</t>
        </is>
      </c>
      <c r="E300" t="inlineStr">
        <is>
          <t>Moussa Ilboudo</t>
        </is>
      </c>
      <c r="F300" t="inlineStr">
        <is>
          <t>3702</t>
        </is>
      </c>
      <c r="G300" t="inlineStr">
        <is>
          <t>Carreau de pavement 40x40 — réf 2</t>
        </is>
      </c>
      <c r="H300" t="inlineStr">
        <is>
          <t>Matériaux</t>
        </is>
      </c>
      <c r="I300" t="inlineStr">
        <is>
          <t>23</t>
        </is>
      </c>
      <c r="J300" t="inlineStr">
        <is>
          <t>1075</t>
        </is>
      </c>
      <c r="K300" t="inlineStr">
        <is>
          <t>0.0</t>
        </is>
      </c>
      <c r="L300" t="inlineStr">
        <is>
          <t>24725</t>
        </is>
      </c>
      <c r="M300" t="inlineStr">
        <is>
          <t>29 175</t>
        </is>
      </c>
    </row>
    <row r="301">
      <c r="A301" t="inlineStr">
        <is>
          <t>T05-250801-099090</t>
        </is>
      </c>
      <c r="B301" t="inlineStr">
        <is>
          <t>2025-08-01</t>
        </is>
      </c>
      <c r="C301" t="inlineStr">
        <is>
          <t>12:30</t>
        </is>
      </c>
      <c r="D301" t="inlineStr">
        <is>
          <t>Magasin 5 — Kaya Marché</t>
        </is>
      </c>
      <c r="E301" t="inlineStr">
        <is>
          <t>Boureima Ouédraogo</t>
        </is>
      </c>
      <c r="F301" t="inlineStr">
        <is>
          <t>3776</t>
        </is>
      </c>
      <c r="G301" t="inlineStr">
        <is>
          <t>Panneau MDF 12 mm — réf 1</t>
        </is>
      </c>
      <c r="H301" t="inlineStr">
        <is>
          <t>Bois &amp; panneaux</t>
        </is>
      </c>
      <c r="I301" t="inlineStr">
        <is>
          <t>14</t>
        </is>
      </c>
      <c r="J301" t="inlineStr">
        <is>
          <t>18400</t>
        </is>
      </c>
      <c r="K301" t="inlineStr">
        <is>
          <t>0.08</t>
        </is>
      </c>
      <c r="L301" t="inlineStr">
        <is>
          <t>236992</t>
        </is>
      </c>
      <c r="M301" t="inlineStr">
        <is>
          <t>279 651</t>
        </is>
      </c>
    </row>
    <row r="302">
      <c r="A302" t="inlineStr">
        <is>
          <t>T05-250801-099091</t>
        </is>
      </c>
      <c r="B302" t="inlineStr">
        <is>
          <t>2025-08-01</t>
        </is>
      </c>
      <c r="C302" t="inlineStr">
        <is>
          <t>13:26</t>
        </is>
      </c>
      <c r="D302" t="inlineStr">
        <is>
          <t>Magasin 5 — Kaya Marché</t>
        </is>
      </c>
      <c r="E302" t="inlineStr">
        <is>
          <t>Salamatu Sankara</t>
        </is>
      </c>
      <c r="F302" t="inlineStr">
        <is>
          <t>3764</t>
        </is>
      </c>
      <c r="G302" t="inlineStr">
        <is>
          <t>Sable de rivière (m3) — réf 1</t>
        </is>
      </c>
      <c r="H302" t="inlineStr">
        <is>
          <t>Matériaux</t>
        </is>
      </c>
      <c r="I302" t="inlineStr">
        <is>
          <t>3</t>
        </is>
      </c>
      <c r="J302" t="inlineStr">
        <is>
          <t>25300</t>
        </is>
      </c>
      <c r="K302" t="inlineStr">
        <is>
          <t>0.08</t>
        </is>
      </c>
      <c r="L302" t="inlineStr">
        <is>
          <t>69828</t>
        </is>
      </c>
      <c r="M302" t="inlineStr">
        <is>
          <t>82 397</t>
        </is>
      </c>
    </row>
    <row r="303">
      <c r="A303" t="inlineStr">
        <is>
          <t>T05-250801-099092</t>
        </is>
      </c>
      <c r="B303" t="inlineStr">
        <is>
          <t>2025-08-01</t>
        </is>
      </c>
      <c r="C303" t="inlineStr">
        <is>
          <t>11:28</t>
        </is>
      </c>
      <c r="D303" t="inlineStr">
        <is>
          <t>Magasin 5 — Kaya Marché</t>
        </is>
      </c>
      <c r="E303" t="inlineStr">
        <is>
          <t>Boureima Ouédraogo</t>
        </is>
      </c>
      <c r="F303" t="inlineStr">
        <is>
          <t>1144</t>
        </is>
      </c>
      <c r="G303" t="inlineStr">
        <is>
          <t>Plaque de plâtre 13 mm — réf 1</t>
        </is>
      </c>
      <c r="H303" t="inlineStr">
        <is>
          <t>Bois &amp; panneaux</t>
        </is>
      </c>
      <c r="I303" t="inlineStr">
        <is>
          <t>8</t>
        </is>
      </c>
      <c r="J303" t="inlineStr">
        <is>
          <t>9800</t>
        </is>
      </c>
      <c r="K303" t="inlineStr">
        <is>
          <t>0.04</t>
        </is>
      </c>
      <c r="L303" t="inlineStr">
        <is>
          <t>75264</t>
        </is>
      </c>
      <c r="M303" t="inlineStr">
        <is>
          <t>88 812</t>
        </is>
      </c>
    </row>
    <row r="304">
      <c r="A304" t="inlineStr">
        <is>
          <t>T05-250801-099093</t>
        </is>
      </c>
      <c r="B304" t="inlineStr">
        <is>
          <t>01/08/2025</t>
        </is>
      </c>
      <c r="C304" t="inlineStr">
        <is>
          <t>15:49</t>
        </is>
      </c>
      <c r="D304" t="inlineStr">
        <is>
          <t>Magasin 5 — Kaya Marché</t>
        </is>
      </c>
      <c r="E304" t="inlineStr">
        <is>
          <t>Moussa Ilboudo</t>
        </is>
      </c>
      <c r="F304" t="inlineStr"/>
      <c r="G304" t="inlineStr">
        <is>
          <t>Disjoncteur 16 A — réf 1</t>
        </is>
      </c>
      <c r="H304" t="inlineStr">
        <is>
          <t>Electricité</t>
        </is>
      </c>
      <c r="I304" t="inlineStr">
        <is>
          <t>52</t>
        </is>
      </c>
      <c r="J304" t="inlineStr">
        <is>
          <t>9625</t>
        </is>
      </c>
      <c r="K304" t="inlineStr">
        <is>
          <t>0.0</t>
        </is>
      </c>
      <c r="L304" t="inlineStr">
        <is>
          <t>500500</t>
        </is>
      </c>
      <c r="M304" t="inlineStr">
        <is>
          <t>590 590</t>
        </is>
      </c>
    </row>
    <row r="305">
      <c r="A305" t="inlineStr">
        <is>
          <t>T05-250801-099094</t>
        </is>
      </c>
      <c r="B305" t="inlineStr">
        <is>
          <t>01/08/2025</t>
        </is>
      </c>
      <c r="C305" t="inlineStr">
        <is>
          <t>14:21</t>
        </is>
      </c>
      <c r="D305" t="inlineStr">
        <is>
          <t>Magasin 5 — Kaya Marché</t>
        </is>
      </c>
      <c r="E305" t="inlineStr">
        <is>
          <t>Adama Bationo</t>
        </is>
      </c>
      <c r="F305" t="inlineStr">
        <is>
          <t>16069</t>
        </is>
      </c>
      <c r="G305" t="inlineStr">
        <is>
          <t>Tableau 18 modules — réf 2</t>
        </is>
      </c>
      <c r="H305" t="inlineStr">
        <is>
          <t>Electricité</t>
        </is>
      </c>
      <c r="I305" t="inlineStr">
        <is>
          <t>1</t>
        </is>
      </c>
      <c r="J305" t="inlineStr">
        <is>
          <t>8625</t>
        </is>
      </c>
      <c r="K305" t="inlineStr">
        <is>
          <t>0.0</t>
        </is>
      </c>
      <c r="L305" t="inlineStr">
        <is>
          <t>8625</t>
        </is>
      </c>
      <c r="M305" t="inlineStr">
        <is>
          <t>10 177</t>
        </is>
      </c>
    </row>
    <row r="306">
      <c r="A306" t="inlineStr">
        <is>
          <t>T05-250801-099095</t>
        </is>
      </c>
      <c r="B306" t="inlineStr">
        <is>
          <t>2025-08-01</t>
        </is>
      </c>
      <c r="C306" t="inlineStr">
        <is>
          <t>08:06</t>
        </is>
      </c>
      <c r="D306" t="inlineStr">
        <is>
          <t>Magasin 5 — Kaya Marché</t>
        </is>
      </c>
      <c r="E306" t="inlineStr">
        <is>
          <t>Salamatu Sankara</t>
        </is>
      </c>
      <c r="F306" t="inlineStr">
        <is>
          <t>21333</t>
        </is>
      </c>
      <c r="G306" t="inlineStr">
        <is>
          <t>Tournevis cruciforme PH2 — réf 2</t>
        </is>
      </c>
      <c r="H306" t="inlineStr">
        <is>
          <t>Quincaillerie</t>
        </is>
      </c>
      <c r="I306" t="inlineStr">
        <is>
          <t>2</t>
        </is>
      </c>
      <c r="J306" t="inlineStr">
        <is>
          <t>6225</t>
        </is>
      </c>
      <c r="K306" t="inlineStr">
        <is>
          <t>0.07</t>
        </is>
      </c>
      <c r="L306" t="inlineStr">
        <is>
          <t>11578</t>
        </is>
      </c>
      <c r="M306" t="inlineStr">
        <is>
          <t>13 662</t>
        </is>
      </c>
    </row>
    <row r="307">
      <c r="A307" t="inlineStr">
        <is>
          <t>T05-250801-099096</t>
        </is>
      </c>
      <c r="B307" t="inlineStr">
        <is>
          <t>2025-08-01</t>
        </is>
      </c>
      <c r="C307" t="inlineStr">
        <is>
          <t>14:39</t>
        </is>
      </c>
      <c r="D307" t="inlineStr">
        <is>
          <t>Magasin 5 — Kaya Marché</t>
        </is>
      </c>
      <c r="E307" t="inlineStr">
        <is>
          <t>Boureima Ouédraogo</t>
        </is>
      </c>
      <c r="F307" t="inlineStr">
        <is>
          <t>13905</t>
        </is>
      </c>
      <c r="G307" t="inlineStr">
        <is>
          <t>Carreau de pavement 40x40 — réf 1</t>
        </is>
      </c>
      <c r="H307" t="inlineStr">
        <is>
          <t>Matériaux</t>
        </is>
      </c>
      <c r="I307" t="inlineStr">
        <is>
          <t>3</t>
        </is>
      </c>
      <c r="J307" t="inlineStr">
        <is>
          <t>1050</t>
        </is>
      </c>
      <c r="K307" t="inlineStr">
        <is>
          <t>0.08</t>
        </is>
      </c>
      <c r="L307" t="inlineStr">
        <is>
          <t>2898</t>
        </is>
      </c>
      <c r="M307" t="inlineStr">
        <is>
          <t>3 420</t>
        </is>
      </c>
    </row>
    <row r="308">
      <c r="A308" t="inlineStr">
        <is>
          <t>T05-250801-099097</t>
        </is>
      </c>
      <c r="B308" t="inlineStr">
        <is>
          <t>2025-08-01</t>
        </is>
      </c>
      <c r="C308" t="inlineStr">
        <is>
          <t>12:37</t>
        </is>
      </c>
      <c r="D308" t="inlineStr">
        <is>
          <t>Magasin 5 — Kaya Marché</t>
        </is>
      </c>
      <c r="E308" t="inlineStr">
        <is>
          <t>Adama Bationo</t>
        </is>
      </c>
      <c r="F308" t="inlineStr">
        <is>
          <t>0</t>
        </is>
      </c>
      <c r="G308" t="inlineStr">
        <is>
          <t>Vis à bois 4x40 (boîte) — réf 1</t>
        </is>
      </c>
      <c r="H308" t="inlineStr">
        <is>
          <t>Quincaillerie</t>
        </is>
      </c>
      <c r="I308" t="inlineStr">
        <is>
          <t>4</t>
        </is>
      </c>
      <c r="J308" t="inlineStr">
        <is>
          <t>1750</t>
        </is>
      </c>
      <c r="K308" t="inlineStr">
        <is>
          <t>0.0</t>
        </is>
      </c>
      <c r="L308" t="inlineStr">
        <is>
          <t>7000</t>
        </is>
      </c>
      <c r="M308" t="inlineStr">
        <is>
          <t>8 260</t>
        </is>
      </c>
    </row>
    <row r="309">
      <c r="A309" t="inlineStr">
        <is>
          <t>T05-250801-099097</t>
        </is>
      </c>
      <c r="B309" t="inlineStr">
        <is>
          <t>2025-08-01</t>
        </is>
      </c>
      <c r="C309" t="inlineStr">
        <is>
          <t>12:37</t>
        </is>
      </c>
      <c r="D309" t="inlineStr">
        <is>
          <t>Magasin 5 — Kaya Marché</t>
        </is>
      </c>
      <c r="E309" t="inlineStr">
        <is>
          <t>Adama Bationo</t>
        </is>
      </c>
      <c r="F309" t="inlineStr">
        <is>
          <t>0</t>
        </is>
      </c>
      <c r="G309" t="inlineStr">
        <is>
          <t>Vis à bois 4x40 (boîte) — réf 1</t>
        </is>
      </c>
      <c r="H309" t="inlineStr">
        <is>
          <t>Quincaillerie</t>
        </is>
      </c>
      <c r="I309" t="inlineStr">
        <is>
          <t>4</t>
        </is>
      </c>
      <c r="J309" t="inlineStr">
        <is>
          <t>1750</t>
        </is>
      </c>
      <c r="K309" t="inlineStr">
        <is>
          <t>0.0</t>
        </is>
      </c>
      <c r="L309" t="inlineStr">
        <is>
          <t>7000</t>
        </is>
      </c>
      <c r="M309" t="inlineStr">
        <is>
          <t>8 260</t>
        </is>
      </c>
    </row>
    <row r="310">
      <c r="A310" t="inlineStr">
        <is>
          <t>T05-250802-099181</t>
        </is>
      </c>
      <c r="B310" t="inlineStr">
        <is>
          <t>2025-08-02</t>
        </is>
      </c>
      <c r="C310" t="inlineStr">
        <is>
          <t>09:32</t>
        </is>
      </c>
      <c r="D310" t="inlineStr">
        <is>
          <t>Magasin 5 — Kaya Marché</t>
        </is>
      </c>
      <c r="E310" t="inlineStr">
        <is>
          <t>Moussa Ilboudo</t>
        </is>
      </c>
      <c r="F310" t="inlineStr">
        <is>
          <t>4787</t>
        </is>
      </c>
      <c r="G310" t="inlineStr">
        <is>
          <t>Gants anti-coupure (paire) — réf 2</t>
        </is>
      </c>
      <c r="H310" t="inlineStr">
        <is>
          <t>Consommables</t>
        </is>
      </c>
      <c r="I310" t="inlineStr">
        <is>
          <t>3</t>
        </is>
      </c>
      <c r="J310" t="inlineStr">
        <is>
          <t>5300</t>
        </is>
      </c>
      <c r="K310" t="inlineStr">
        <is>
          <t>0.0</t>
        </is>
      </c>
      <c r="L310" t="inlineStr">
        <is>
          <t>15900</t>
        </is>
      </c>
      <c r="M310" t="inlineStr">
        <is>
          <t>18 762</t>
        </is>
      </c>
    </row>
    <row r="311">
      <c r="A311" t="inlineStr">
        <is>
          <t>T05-250802-099181</t>
        </is>
      </c>
      <c r="B311" t="inlineStr">
        <is>
          <t>2025-08-02</t>
        </is>
      </c>
      <c r="C311" t="inlineStr">
        <is>
          <t>12:22</t>
        </is>
      </c>
      <c r="D311" t="inlineStr">
        <is>
          <t>Magasin 5 — Kaya Marché</t>
        </is>
      </c>
      <c r="E311" t="inlineStr">
        <is>
          <t>Adama Bationo</t>
        </is>
      </c>
      <c r="F311" t="inlineStr"/>
      <c r="G311" t="inlineStr">
        <is>
          <t>Brouette 90 L — réf 2</t>
        </is>
      </c>
      <c r="H311" t="inlineStr">
        <is>
          <t>Consommables</t>
        </is>
      </c>
      <c r="I311" t="inlineStr">
        <is>
          <t>12</t>
        </is>
      </c>
      <c r="J311" t="inlineStr">
        <is>
          <t>10100</t>
        </is>
      </c>
      <c r="K311" t="inlineStr">
        <is>
          <t>0.0</t>
        </is>
      </c>
      <c r="L311" t="inlineStr">
        <is>
          <t>121200</t>
        </is>
      </c>
      <c r="M311" t="inlineStr">
        <is>
          <t>143 016</t>
        </is>
      </c>
    </row>
    <row r="312">
      <c r="A312" t="inlineStr">
        <is>
          <t>T05-250802-099182</t>
        </is>
      </c>
      <c r="B312" t="inlineStr">
        <is>
          <t>2025-08-02</t>
        </is>
      </c>
      <c r="C312" t="inlineStr">
        <is>
          <t>11:44</t>
        </is>
      </c>
      <c r="D312" t="inlineStr">
        <is>
          <t>Magasin 5 — Kaya Marché</t>
        </is>
      </c>
      <c r="E312" t="inlineStr">
        <is>
          <t>Boureima Ouédraogo</t>
        </is>
      </c>
      <c r="F312" t="inlineStr">
        <is>
          <t>13720</t>
        </is>
      </c>
      <c r="G312" t="inlineStr">
        <is>
          <t>Tout-venant (m3) — réf 1</t>
        </is>
      </c>
      <c r="H312" t="inlineStr">
        <is>
          <t>Matériaux</t>
        </is>
      </c>
      <c r="I312" t="inlineStr">
        <is>
          <t>2</t>
        </is>
      </c>
      <c r="J312" t="inlineStr">
        <is>
          <t>16275</t>
        </is>
      </c>
      <c r="K312" t="inlineStr">
        <is>
          <t>0.0</t>
        </is>
      </c>
      <c r="L312" t="inlineStr">
        <is>
          <t>32550</t>
        </is>
      </c>
      <c r="M312" t="inlineStr">
        <is>
          <t>38 409</t>
        </is>
      </c>
    </row>
    <row r="313">
      <c r="A313" t="inlineStr">
        <is>
          <t>T05-250802-099182</t>
        </is>
      </c>
      <c r="B313" t="inlineStr">
        <is>
          <t>2025-08-02</t>
        </is>
      </c>
      <c r="C313" t="inlineStr">
        <is>
          <t>12:26</t>
        </is>
      </c>
      <c r="D313" t="inlineStr">
        <is>
          <t>Magasin 5 — Kaya Marché</t>
        </is>
      </c>
      <c r="E313" t="inlineStr">
        <is>
          <t>Moussa Ilboudo</t>
        </is>
      </c>
      <c r="F313" t="inlineStr">
        <is>
          <t>7845</t>
        </is>
      </c>
      <c r="G313" t="inlineStr">
        <is>
          <t>Brouette en kit — réf 1</t>
        </is>
      </c>
      <c r="H313" t="inlineStr">
        <is>
          <t>Consommables</t>
        </is>
      </c>
      <c r="I313" t="inlineStr">
        <is>
          <t>3</t>
        </is>
      </c>
      <c r="J313" t="inlineStr">
        <is>
          <t>9425</t>
        </is>
      </c>
      <c r="K313" t="inlineStr">
        <is>
          <t>0.0</t>
        </is>
      </c>
      <c r="L313" t="inlineStr">
        <is>
          <t>28275</t>
        </is>
      </c>
      <c r="M313" t="inlineStr">
        <is>
          <t>33 365</t>
        </is>
      </c>
    </row>
    <row r="314">
      <c r="A314" t="inlineStr">
        <is>
          <t>T05-250802-099183</t>
        </is>
      </c>
      <c r="B314" t="inlineStr">
        <is>
          <t>2025-08-02</t>
        </is>
      </c>
      <c r="C314" t="inlineStr">
        <is>
          <t>18:35</t>
        </is>
      </c>
      <c r="D314" t="inlineStr">
        <is>
          <t>Magasin 5 — Kaya Marché</t>
        </is>
      </c>
      <c r="E314" t="inlineStr">
        <is>
          <t>Salamatu Sankara</t>
        </is>
      </c>
      <c r="F314" t="inlineStr">
        <is>
          <t>22512</t>
        </is>
      </c>
      <c r="G314" t="inlineStr">
        <is>
          <t>Tournevis cruciforme PH2 — réf 2</t>
        </is>
      </c>
      <c r="H314" t="inlineStr">
        <is>
          <t>Quincaillerie</t>
        </is>
      </c>
      <c r="I314" t="inlineStr">
        <is>
          <t>25</t>
        </is>
      </c>
      <c r="J314" t="inlineStr">
        <is>
          <t>6325</t>
        </is>
      </c>
      <c r="K314" t="inlineStr">
        <is>
          <t>0.0</t>
        </is>
      </c>
      <c r="L314" t="inlineStr">
        <is>
          <t>158125</t>
        </is>
      </c>
      <c r="M314" t="inlineStr">
        <is>
          <t>186 587</t>
        </is>
      </c>
    </row>
    <row r="315">
      <c r="A315" t="inlineStr">
        <is>
          <t>T05-250802-099183</t>
        </is>
      </c>
      <c r="B315" t="inlineStr">
        <is>
          <t>02/08/2025</t>
        </is>
      </c>
      <c r="C315" t="inlineStr">
        <is>
          <t>15:01</t>
        </is>
      </c>
      <c r="D315" t="inlineStr">
        <is>
          <t>Magasin 5 — Kaya Marché</t>
        </is>
      </c>
      <c r="E315" t="inlineStr">
        <is>
          <t>Salamatu Sankara</t>
        </is>
      </c>
      <c r="F315" t="inlineStr">
        <is>
          <t>0</t>
        </is>
      </c>
      <c r="G315" t="inlineStr">
        <is>
          <t>Passe-câble étanche — réf 1</t>
        </is>
      </c>
      <c r="H315" t="inlineStr">
        <is>
          <t>Electricité</t>
        </is>
      </c>
      <c r="I315" t="inlineStr">
        <is>
          <t>13</t>
        </is>
      </c>
      <c r="J315" t="inlineStr">
        <is>
          <t>16375</t>
        </is>
      </c>
      <c r="K315" t="inlineStr">
        <is>
          <t>0.0</t>
        </is>
      </c>
      <c r="L315" t="inlineStr">
        <is>
          <t>212875</t>
        </is>
      </c>
      <c r="M315" t="inlineStr">
        <is>
          <t>251 193</t>
        </is>
      </c>
    </row>
    <row r="316">
      <c r="A316" t="inlineStr">
        <is>
          <t>T05-250802-099184</t>
        </is>
      </c>
      <c r="B316" t="inlineStr">
        <is>
          <t>2025-08-02</t>
        </is>
      </c>
      <c r="C316" t="inlineStr">
        <is>
          <t>16:07</t>
        </is>
      </c>
      <c r="D316" t="inlineStr">
        <is>
          <t>Magasin 5 — Kaya Marché</t>
        </is>
      </c>
      <c r="E316" t="inlineStr">
        <is>
          <t>Boureima Ouédraogo</t>
        </is>
      </c>
      <c r="F316" t="inlineStr">
        <is>
          <t>9171</t>
        </is>
      </c>
      <c r="G316" t="inlineStr">
        <is>
          <t>Tout-venant (m3) — réf 2</t>
        </is>
      </c>
      <c r="H316" t="inlineStr">
        <is>
          <t>Matériaux</t>
        </is>
      </c>
      <c r="I316" t="inlineStr">
        <is>
          <t>3</t>
        </is>
      </c>
      <c r="J316" t="inlineStr">
        <is>
          <t>23975</t>
        </is>
      </c>
      <c r="K316" t="inlineStr">
        <is>
          <t>0.0</t>
        </is>
      </c>
      <c r="L316" t="inlineStr">
        <is>
          <t>71925</t>
        </is>
      </c>
      <c r="M316" t="inlineStr">
        <is>
          <t>84 871</t>
        </is>
      </c>
    </row>
    <row r="317">
      <c r="A317" t="inlineStr">
        <is>
          <t>T05-250802-099184</t>
        </is>
      </c>
      <c r="B317" t="inlineStr">
        <is>
          <t>02/08/2025</t>
        </is>
      </c>
      <c r="C317" t="inlineStr">
        <is>
          <t>07:16</t>
        </is>
      </c>
      <c r="D317" t="inlineStr">
        <is>
          <t>Magasin 5 — Kaya Marché</t>
        </is>
      </c>
      <c r="E317" t="inlineStr">
        <is>
          <t>Salamatu Sankara</t>
        </is>
      </c>
      <c r="F317" t="inlineStr">
        <is>
          <t>17024</t>
        </is>
      </c>
      <c r="G317" t="inlineStr">
        <is>
          <t>Enduit de lissage 20 kg — réf 2</t>
        </is>
      </c>
      <c r="H317" t="inlineStr">
        <is>
          <t>Matériaux</t>
        </is>
      </c>
      <c r="I317" t="inlineStr">
        <is>
          <t>6</t>
        </is>
      </c>
      <c r="J317" t="inlineStr">
        <is>
          <t>6450</t>
        </is>
      </c>
      <c r="K317" t="inlineStr">
        <is>
          <t>0.0</t>
        </is>
      </c>
      <c r="L317" t="inlineStr">
        <is>
          <t>38700</t>
        </is>
      </c>
      <c r="M317" t="inlineStr">
        <is>
          <t>45 666</t>
        </is>
      </c>
    </row>
    <row r="318">
      <c r="A318" t="inlineStr">
        <is>
          <t>T05-250802-099185</t>
        </is>
      </c>
      <c r="B318" t="inlineStr">
        <is>
          <t>2025-08-02</t>
        </is>
      </c>
      <c r="C318" t="inlineStr">
        <is>
          <t>09:42</t>
        </is>
      </c>
      <c r="D318" t="inlineStr">
        <is>
          <t>Magasin 5 — Kaya Marché</t>
        </is>
      </c>
      <c r="E318" t="inlineStr">
        <is>
          <t>Salamatu Sankara</t>
        </is>
      </c>
      <c r="F318" t="inlineStr">
        <is>
          <t>7375</t>
        </is>
      </c>
      <c r="G318" t="inlineStr">
        <is>
          <t>Fil de fer recuit (kg) — réf 1</t>
        </is>
      </c>
      <c r="H318" t="inlineStr">
        <is>
          <t>Quincaillerie</t>
        </is>
      </c>
      <c r="I318" t="inlineStr">
        <is>
          <t>12</t>
        </is>
      </c>
      <c r="J318" t="inlineStr">
        <is>
          <t>1650</t>
        </is>
      </c>
      <c r="K318" t="inlineStr">
        <is>
          <t>0.0</t>
        </is>
      </c>
      <c r="L318" t="inlineStr">
        <is>
          <t>19800</t>
        </is>
      </c>
      <c r="M318" t="inlineStr">
        <is>
          <t>23 364</t>
        </is>
      </c>
    </row>
    <row r="319">
      <c r="A319" t="inlineStr">
        <is>
          <t>T05-250802-099185</t>
        </is>
      </c>
      <c r="B319" t="inlineStr">
        <is>
          <t>2025-08-02</t>
        </is>
      </c>
      <c r="C319" t="inlineStr">
        <is>
          <t>18:39</t>
        </is>
      </c>
      <c r="D319" t="inlineStr">
        <is>
          <t>Magasin 5 — Kaya Marché</t>
        </is>
      </c>
      <c r="E319" t="inlineStr">
        <is>
          <t>Salamatu Sankara</t>
        </is>
      </c>
      <c r="F319" t="inlineStr"/>
      <c r="G319" t="inlineStr">
        <is>
          <t>Enduit de lissage 20 kg — réf 1</t>
        </is>
      </c>
      <c r="H319" t="inlineStr">
        <is>
          <t>Matériaux</t>
        </is>
      </c>
      <c r="I319" t="inlineStr">
        <is>
          <t>9</t>
        </is>
      </c>
      <c r="J319" t="inlineStr">
        <is>
          <t>7225</t>
        </is>
      </c>
      <c r="K319" t="inlineStr">
        <is>
          <t>0.04</t>
        </is>
      </c>
      <c r="L319" t="inlineStr">
        <is>
          <t>62424</t>
        </is>
      </c>
      <c r="M319" t="inlineStr">
        <is>
          <t>73 660</t>
        </is>
      </c>
    </row>
    <row r="320">
      <c r="A320" t="inlineStr">
        <is>
          <t>T05-250802-099186</t>
        </is>
      </c>
      <c r="B320" t="inlineStr">
        <is>
          <t>02/08/2025</t>
        </is>
      </c>
      <c r="C320" t="inlineStr">
        <is>
          <t>10:11</t>
        </is>
      </c>
      <c r="D320" t="inlineStr">
        <is>
          <t>Magasin 5 — Kaya Marché</t>
        </is>
      </c>
      <c r="E320" t="inlineStr">
        <is>
          <t>Salamatu Sankara</t>
        </is>
      </c>
      <c r="F320" t="inlineStr">
        <is>
          <t>5339</t>
        </is>
      </c>
      <c r="G320" t="inlineStr">
        <is>
          <t>Panneau MDF 12 mm — réf 1</t>
        </is>
      </c>
      <c r="H320" t="inlineStr">
        <is>
          <t>Bois &amp; panneaux</t>
        </is>
      </c>
      <c r="I320" t="inlineStr">
        <is>
          <t>6</t>
        </is>
      </c>
      <c r="J320" t="inlineStr">
        <is>
          <t>18525</t>
        </is>
      </c>
      <c r="K320" t="inlineStr">
        <is>
          <t>0.04</t>
        </is>
      </c>
      <c r="L320" t="inlineStr">
        <is>
          <t>106704</t>
        </is>
      </c>
      <c r="M320" t="inlineStr">
        <is>
          <t>125 911</t>
        </is>
      </c>
    </row>
    <row r="321">
      <c r="A321" t="inlineStr">
        <is>
          <t>T05-250802-099186</t>
        </is>
      </c>
      <c r="B321" t="inlineStr">
        <is>
          <t>2025-08-02</t>
        </is>
      </c>
      <c r="C321" t="inlineStr">
        <is>
          <t>10:15</t>
        </is>
      </c>
      <c r="D321" t="inlineStr">
        <is>
          <t>Magasin 5 — Kaya Marché</t>
        </is>
      </c>
      <c r="E321" t="inlineStr">
        <is>
          <t>Adama Bationo</t>
        </is>
      </c>
      <c r="F321" t="inlineStr">
        <is>
          <t>0</t>
        </is>
      </c>
      <c r="G321" t="inlineStr">
        <is>
          <t>Diluant nitro 5 L — réf 1</t>
        </is>
      </c>
      <c r="H321" t="inlineStr">
        <is>
          <t>Peinture</t>
        </is>
      </c>
      <c r="I321" t="inlineStr">
        <is>
          <t>14</t>
        </is>
      </c>
      <c r="J321" t="inlineStr">
        <is>
          <t>4500</t>
        </is>
      </c>
      <c r="K321" t="inlineStr">
        <is>
          <t>0.0</t>
        </is>
      </c>
      <c r="L321" t="inlineStr">
        <is>
          <t>63000</t>
        </is>
      </c>
      <c r="M321" t="inlineStr">
        <is>
          <t>74 340</t>
        </is>
      </c>
    </row>
    <row r="322">
      <c r="A322" t="inlineStr">
        <is>
          <t>T05-250802-099187</t>
        </is>
      </c>
      <c r="B322" t="inlineStr">
        <is>
          <t>2025-08-02</t>
        </is>
      </c>
      <c r="C322" t="inlineStr">
        <is>
          <t>14:41</t>
        </is>
      </c>
      <c r="D322" t="inlineStr">
        <is>
          <t>Magasin 5 — Kaya Marché</t>
        </is>
      </c>
      <c r="E322" t="inlineStr">
        <is>
          <t>Adama Bationo</t>
        </is>
      </c>
      <c r="F322" t="inlineStr">
        <is>
          <t>4245</t>
        </is>
      </c>
      <c r="G322" t="inlineStr">
        <is>
          <t>Panneau contreplaqué 15 mm — réf 2</t>
        </is>
      </c>
      <c r="H322" t="inlineStr">
        <is>
          <t>Bois &amp; panneaux</t>
        </is>
      </c>
      <c r="I322" t="inlineStr">
        <is>
          <t>5</t>
        </is>
      </c>
      <c r="J322" t="inlineStr">
        <is>
          <t>18875</t>
        </is>
      </c>
      <c r="K322" t="inlineStr">
        <is>
          <t>0.04</t>
        </is>
      </c>
      <c r="L322" t="inlineStr">
        <is>
          <t>90600</t>
        </is>
      </c>
      <c r="M322" t="inlineStr">
        <is>
          <t>106 908</t>
        </is>
      </c>
    </row>
    <row r="323">
      <c r="A323" t="inlineStr">
        <is>
          <t>T05-250802-099187</t>
        </is>
      </c>
      <c r="B323" t="inlineStr">
        <is>
          <t>2025-08-02</t>
        </is>
      </c>
      <c r="C323" t="inlineStr">
        <is>
          <t>17:43</t>
        </is>
      </c>
      <c r="D323" t="inlineStr">
        <is>
          <t>Magasin 5 — Kaya Marché</t>
        </is>
      </c>
      <c r="E323" t="inlineStr">
        <is>
          <t>Adama Bationo</t>
        </is>
      </c>
      <c r="F323" t="inlineStr">
        <is>
          <t>13354</t>
        </is>
      </c>
      <c r="G323" t="inlineStr">
        <is>
          <t>Panneau contreplaqué 15 mm — réf 2</t>
        </is>
      </c>
      <c r="H323" t="inlineStr">
        <is>
          <t>Bois &amp; panneaux</t>
        </is>
      </c>
      <c r="I323" t="inlineStr">
        <is>
          <t>6</t>
        </is>
      </c>
      <c r="J323" t="inlineStr">
        <is>
          <t>18775</t>
        </is>
      </c>
      <c r="K323" t="inlineStr">
        <is>
          <t>0.04</t>
        </is>
      </c>
      <c r="L323" t="inlineStr">
        <is>
          <t>108144</t>
        </is>
      </c>
      <c r="M323" t="inlineStr">
        <is>
          <t>127 610</t>
        </is>
      </c>
    </row>
    <row r="324">
      <c r="A324" t="inlineStr">
        <is>
          <t>T05-250802-099188</t>
        </is>
      </c>
      <c r="B324" t="inlineStr">
        <is>
          <t>02/08/2025</t>
        </is>
      </c>
      <c r="C324" t="inlineStr">
        <is>
          <t>16:42</t>
        </is>
      </c>
      <c r="D324" t="inlineStr">
        <is>
          <t>Magasin 5 — Kaya Marché</t>
        </is>
      </c>
      <c r="E324" t="inlineStr">
        <is>
          <t>Salamatu Sankara</t>
        </is>
      </c>
      <c r="F324" t="inlineStr">
        <is>
          <t>23479</t>
        </is>
      </c>
      <c r="G324" t="inlineStr">
        <is>
          <t>Vernis marin 1 L — réf 1</t>
        </is>
      </c>
      <c r="H324" t="inlineStr">
        <is>
          <t>Peinture</t>
        </is>
      </c>
      <c r="I324" t="inlineStr">
        <is>
          <t>6</t>
        </is>
      </c>
      <c r="J324" t="inlineStr">
        <is>
          <t>5675</t>
        </is>
      </c>
      <c r="K324" t="inlineStr">
        <is>
          <t>0.0</t>
        </is>
      </c>
      <c r="L324" t="inlineStr">
        <is>
          <t>34050</t>
        </is>
      </c>
      <c r="M324" t="inlineStr">
        <is>
          <t>40 179</t>
        </is>
      </c>
    </row>
    <row r="325">
      <c r="A325" t="inlineStr">
        <is>
          <t>T05-250802-099188</t>
        </is>
      </c>
      <c r="B325" t="inlineStr">
        <is>
          <t>2025-08-02</t>
        </is>
      </c>
      <c r="C325" t="inlineStr">
        <is>
          <t>07:53</t>
        </is>
      </c>
      <c r="D325" t="inlineStr">
        <is>
          <t>Magasin 5 — Kaya Marché</t>
        </is>
      </c>
      <c r="E325" t="inlineStr">
        <is>
          <t>Adama Bationo</t>
        </is>
      </c>
      <c r="F325" t="inlineStr">
        <is>
          <t>21535</t>
        </is>
      </c>
      <c r="G325" t="inlineStr">
        <is>
          <t>Brouette 90 L — réf 1</t>
        </is>
      </c>
      <c r="H325" t="inlineStr">
        <is>
          <t>Consommables</t>
        </is>
      </c>
      <c r="I325" t="inlineStr">
        <is>
          <t>10</t>
        </is>
      </c>
      <c r="J325" t="inlineStr">
        <is>
          <t>5000</t>
        </is>
      </c>
      <c r="K325" t="inlineStr">
        <is>
          <t>0.0</t>
        </is>
      </c>
      <c r="L325" t="inlineStr">
        <is>
          <t>50000</t>
        </is>
      </c>
      <c r="M325" t="inlineStr">
        <is>
          <t>59 000</t>
        </is>
      </c>
    </row>
    <row r="326">
      <c r="A326" t="inlineStr">
        <is>
          <t>T05-250802-099189</t>
        </is>
      </c>
      <c r="B326" t="inlineStr">
        <is>
          <t>2025-08-02</t>
        </is>
      </c>
      <c r="C326" t="inlineStr">
        <is>
          <t>11:02</t>
        </is>
      </c>
      <c r="D326" t="inlineStr">
        <is>
          <t>Magasin 5 — Kaya Marché</t>
        </is>
      </c>
      <c r="E326" t="inlineStr">
        <is>
          <t>Salamatu Sankara</t>
        </is>
      </c>
      <c r="F326" t="inlineStr">
        <is>
          <t>12218</t>
        </is>
      </c>
      <c r="G326" t="inlineStr">
        <is>
          <t>Chaux aérienne 25 kg — réf 1</t>
        </is>
      </c>
      <c r="H326" t="inlineStr">
        <is>
          <t>Matériaux</t>
        </is>
      </c>
      <c r="I326" t="inlineStr">
        <is>
          <t>5</t>
        </is>
      </c>
      <c r="J326" t="inlineStr">
        <is>
          <t>5100</t>
        </is>
      </c>
      <c r="K326" t="inlineStr">
        <is>
          <t>0.0</t>
        </is>
      </c>
      <c r="L326" t="inlineStr">
        <is>
          <t>25500</t>
        </is>
      </c>
      <c r="M326" t="inlineStr">
        <is>
          <t>30 090</t>
        </is>
      </c>
    </row>
    <row r="327">
      <c r="A327" t="inlineStr">
        <is>
          <t>T05-250802-099189</t>
        </is>
      </c>
      <c r="B327" t="inlineStr">
        <is>
          <t>2025-08-02</t>
        </is>
      </c>
      <c r="C327" t="inlineStr">
        <is>
          <t>14:26</t>
        </is>
      </c>
      <c r="D327" t="inlineStr">
        <is>
          <t>Magasin 5 — Kaya Marché</t>
        </is>
      </c>
      <c r="E327" t="inlineStr">
        <is>
          <t>Adama Bationo</t>
        </is>
      </c>
      <c r="F327" t="inlineStr">
        <is>
          <t>23312</t>
        </is>
      </c>
      <c r="G327" t="inlineStr">
        <is>
          <t>Régulateur de charge 10 A — réf 1</t>
        </is>
      </c>
      <c r="H327" t="inlineStr">
        <is>
          <t>Electricité</t>
        </is>
      </c>
      <c r="I327" t="inlineStr">
        <is>
          <t>1</t>
        </is>
      </c>
      <c r="J327" t="inlineStr">
        <is>
          <t>21300</t>
        </is>
      </c>
      <c r="K327" t="inlineStr">
        <is>
          <t>0.04</t>
        </is>
      </c>
      <c r="L327" t="inlineStr">
        <is>
          <t>20448</t>
        </is>
      </c>
      <c r="M327" t="inlineStr">
        <is>
          <t>24 129</t>
        </is>
      </c>
    </row>
    <row r="328">
      <c r="A328" t="inlineStr">
        <is>
          <t>T05-250802-099189</t>
        </is>
      </c>
      <c r="B328" t="inlineStr">
        <is>
          <t>2025-08-02</t>
        </is>
      </c>
      <c r="C328" t="inlineStr">
        <is>
          <t>14:26</t>
        </is>
      </c>
      <c r="D328" t="inlineStr">
        <is>
          <t>Magasin 5 — Kaya Marché</t>
        </is>
      </c>
      <c r="E328" t="inlineStr">
        <is>
          <t>Adama Bationo</t>
        </is>
      </c>
      <c r="F328" t="inlineStr">
        <is>
          <t>23312</t>
        </is>
      </c>
      <c r="G328" t="inlineStr">
        <is>
          <t>Régulateur de charge 10 A — réf 1</t>
        </is>
      </c>
      <c r="H328" t="inlineStr">
        <is>
          <t>Electricité</t>
        </is>
      </c>
      <c r="I328" t="inlineStr">
        <is>
          <t>1</t>
        </is>
      </c>
      <c r="J328" t="inlineStr">
        <is>
          <t>21300</t>
        </is>
      </c>
      <c r="K328" t="inlineStr">
        <is>
          <t>0.04</t>
        </is>
      </c>
      <c r="L328" t="inlineStr">
        <is>
          <t>20448</t>
        </is>
      </c>
      <c r="M328" t="inlineStr">
        <is>
          <t>24 129</t>
        </is>
      </c>
    </row>
    <row r="329">
      <c r="A329" t="inlineStr">
        <is>
          <t>T05-250901-101911</t>
        </is>
      </c>
      <c r="B329" t="inlineStr">
        <is>
          <t>2025-09-01</t>
        </is>
      </c>
      <c r="C329" t="inlineStr">
        <is>
          <t>17:44</t>
        </is>
      </c>
      <c r="D329" t="inlineStr">
        <is>
          <t>Magasin 5 — Kaya Marché</t>
        </is>
      </c>
      <c r="E329" t="inlineStr">
        <is>
          <t>Moussa Ilboudo</t>
        </is>
      </c>
      <c r="F329" t="inlineStr">
        <is>
          <t>7317</t>
        </is>
      </c>
      <c r="G329" t="inlineStr">
        <is>
          <t>Pavé autobloquant — réf 1</t>
        </is>
      </c>
      <c r="H329" t="inlineStr">
        <is>
          <t>Matériaux</t>
        </is>
      </c>
      <c r="I329" t="inlineStr">
        <is>
          <t>12</t>
        </is>
      </c>
      <c r="J329" t="inlineStr">
        <is>
          <t>1175</t>
        </is>
      </c>
      <c r="K329" t="inlineStr">
        <is>
          <t>0.0</t>
        </is>
      </c>
      <c r="L329" t="inlineStr">
        <is>
          <t>14100</t>
        </is>
      </c>
      <c r="M329" t="inlineStr">
        <is>
          <t>16 638</t>
        </is>
      </c>
    </row>
    <row r="330">
      <c r="A330" t="inlineStr">
        <is>
          <t>T05-250901-101911</t>
        </is>
      </c>
      <c r="B330" t="inlineStr">
        <is>
          <t>2025-09-01</t>
        </is>
      </c>
      <c r="C330" t="inlineStr">
        <is>
          <t>18:54</t>
        </is>
      </c>
      <c r="D330" t="inlineStr">
        <is>
          <t>Magasin 5 — Kaya Marché</t>
        </is>
      </c>
      <c r="E330" t="inlineStr">
        <is>
          <t>Boureima Ouédraogo</t>
        </is>
      </c>
      <c r="F330" t="inlineStr">
        <is>
          <t>5898</t>
        </is>
      </c>
      <c r="G330" t="inlineStr">
        <is>
          <t>Meuleuse 125 mm — réf 1</t>
        </is>
      </c>
      <c r="H330" t="inlineStr">
        <is>
          <t>Quincaillerie</t>
        </is>
      </c>
      <c r="I330" t="inlineStr">
        <is>
          <t>1</t>
        </is>
      </c>
      <c r="J330" t="inlineStr">
        <is>
          <t>7625</t>
        </is>
      </c>
      <c r="K330" t="inlineStr">
        <is>
          <t>0.0</t>
        </is>
      </c>
      <c r="L330" t="inlineStr">
        <is>
          <t>7625</t>
        </is>
      </c>
      <c r="M330" t="inlineStr">
        <is>
          <t>8 997</t>
        </is>
      </c>
    </row>
    <row r="331">
      <c r="A331" t="inlineStr">
        <is>
          <t>T05-250901-101911</t>
        </is>
      </c>
      <c r="B331" t="inlineStr">
        <is>
          <t>2025-09-01</t>
        </is>
      </c>
      <c r="C331" t="inlineStr">
        <is>
          <t>09:58</t>
        </is>
      </c>
      <c r="D331" t="inlineStr">
        <is>
          <t>Magasin 5 — Kaya Marché</t>
        </is>
      </c>
      <c r="E331" t="inlineStr">
        <is>
          <t>Moussa Ilboudo</t>
        </is>
      </c>
      <c r="F331" t="inlineStr">
        <is>
          <t>13989</t>
        </is>
      </c>
      <c r="G331" t="inlineStr">
        <is>
          <t>Meuleuse 125 mm — réf 1</t>
        </is>
      </c>
      <c r="H331" t="inlineStr">
        <is>
          <t>Quincaillerie</t>
        </is>
      </c>
      <c r="I331" t="inlineStr">
        <is>
          <t>1</t>
        </is>
      </c>
      <c r="J331" t="inlineStr">
        <is>
          <t>7475</t>
        </is>
      </c>
      <c r="K331" t="inlineStr">
        <is>
          <t>0.04</t>
        </is>
      </c>
      <c r="L331" t="inlineStr">
        <is>
          <t>7176</t>
        </is>
      </c>
      <c r="M331" t="inlineStr">
        <is>
          <t>8 468</t>
        </is>
      </c>
    </row>
    <row r="332">
      <c r="A332" t="inlineStr">
        <is>
          <t>T05-250901-101912</t>
        </is>
      </c>
      <c r="B332" t="inlineStr">
        <is>
          <t>2025-09-01</t>
        </is>
      </c>
      <c r="C332" t="inlineStr">
        <is>
          <t>16:42</t>
        </is>
      </c>
      <c r="D332" t="inlineStr">
        <is>
          <t>Magasin 5 — Kaya Marché</t>
        </is>
      </c>
      <c r="E332" t="inlineStr">
        <is>
          <t>Adama Bationo</t>
        </is>
      </c>
      <c r="F332" t="inlineStr">
        <is>
          <t>0</t>
        </is>
      </c>
      <c r="G332" t="inlineStr">
        <is>
          <t>Perforateur 800 W — réf 2</t>
        </is>
      </c>
      <c r="H332" t="inlineStr">
        <is>
          <t>Quincaillerie</t>
        </is>
      </c>
      <c r="I332" t="inlineStr">
        <is>
          <t>4</t>
        </is>
      </c>
      <c r="J332" t="inlineStr">
        <is>
          <t>5675</t>
        </is>
      </c>
      <c r="K332" t="inlineStr">
        <is>
          <t>0.0</t>
        </is>
      </c>
      <c r="L332" t="inlineStr">
        <is>
          <t>22700</t>
        </is>
      </c>
      <c r="M332" t="inlineStr">
        <is>
          <t>26 786</t>
        </is>
      </c>
    </row>
    <row r="333">
      <c r="A333" t="inlineStr">
        <is>
          <t>T05-250901-101912</t>
        </is>
      </c>
      <c r="B333" t="inlineStr">
        <is>
          <t>2025-09-01</t>
        </is>
      </c>
      <c r="C333" t="inlineStr">
        <is>
          <t>10:21</t>
        </is>
      </c>
      <c r="D333" t="inlineStr">
        <is>
          <t>Magasin 5 — Kaya Marché</t>
        </is>
      </c>
      <c r="E333" t="inlineStr">
        <is>
          <t>Salamatu Sankara</t>
        </is>
      </c>
      <c r="F333" t="inlineStr">
        <is>
          <t>557</t>
        </is>
      </c>
      <c r="G333" t="inlineStr">
        <is>
          <t>Gants anti-coupure (paire) — réf 1</t>
        </is>
      </c>
      <c r="H333" t="inlineStr">
        <is>
          <t>Consommables</t>
        </is>
      </c>
      <c r="I333" t="inlineStr">
        <is>
          <t>1</t>
        </is>
      </c>
      <c r="J333" t="inlineStr">
        <is>
          <t>8800</t>
        </is>
      </c>
      <c r="K333" t="inlineStr">
        <is>
          <t>0.0</t>
        </is>
      </c>
      <c r="L333" t="inlineStr">
        <is>
          <t>8800</t>
        </is>
      </c>
      <c r="M333" t="inlineStr">
        <is>
          <t>10 384</t>
        </is>
      </c>
    </row>
    <row r="334">
      <c r="A334" t="inlineStr">
        <is>
          <t>T05-250901-101912</t>
        </is>
      </c>
      <c r="B334" t="inlineStr">
        <is>
          <t>2025-09-01</t>
        </is>
      </c>
      <c r="C334" t="inlineStr">
        <is>
          <t>15:44</t>
        </is>
      </c>
      <c r="D334" t="inlineStr">
        <is>
          <t>Magasin 5 — Kaya Marché</t>
        </is>
      </c>
      <c r="E334" t="inlineStr">
        <is>
          <t>Boureima Ouédraogo</t>
        </is>
      </c>
      <c r="F334" t="inlineStr">
        <is>
          <t>10696</t>
        </is>
      </c>
      <c r="G334" t="inlineStr">
        <is>
          <t>Mètre ruban 5 m — réf 1</t>
        </is>
      </c>
      <c r="H334" t="inlineStr">
        <is>
          <t>Quincaillerie</t>
        </is>
      </c>
      <c r="I334" t="inlineStr">
        <is>
          <t>1</t>
        </is>
      </c>
      <c r="J334" t="inlineStr">
        <is>
          <t>7525</t>
        </is>
      </c>
      <c r="K334" t="inlineStr">
        <is>
          <t>0.08</t>
        </is>
      </c>
      <c r="L334" t="inlineStr">
        <is>
          <t>6923</t>
        </is>
      </c>
      <c r="M334" t="inlineStr">
        <is>
          <t>8 169</t>
        </is>
      </c>
    </row>
    <row r="335">
      <c r="A335" t="inlineStr">
        <is>
          <t>T05-250901-101913</t>
        </is>
      </c>
      <c r="B335" t="inlineStr">
        <is>
          <t>2025-09-01</t>
        </is>
      </c>
      <c r="C335" t="inlineStr">
        <is>
          <t>15:25</t>
        </is>
      </c>
      <c r="D335" t="inlineStr">
        <is>
          <t>Magasin 5 — Kaya Marché</t>
        </is>
      </c>
      <c r="E335" t="inlineStr">
        <is>
          <t>Salamatu Sankara</t>
        </is>
      </c>
      <c r="F335" t="inlineStr">
        <is>
          <t>0</t>
        </is>
      </c>
      <c r="G335" t="inlineStr">
        <is>
          <t>Pelle carrée — réf 1</t>
        </is>
      </c>
      <c r="H335" t="inlineStr">
        <is>
          <t>Consommables</t>
        </is>
      </c>
      <c r="I335" t="inlineStr">
        <is>
          <t>3</t>
        </is>
      </c>
      <c r="J335" t="inlineStr">
        <is>
          <t>9325</t>
        </is>
      </c>
      <c r="K335" t="inlineStr">
        <is>
          <t>0.0</t>
        </is>
      </c>
      <c r="L335" t="inlineStr">
        <is>
          <t>27975</t>
        </is>
      </c>
      <c r="M335" t="inlineStr">
        <is>
          <t>33 011</t>
        </is>
      </c>
    </row>
    <row r="336">
      <c r="A336" t="inlineStr">
        <is>
          <t>T05-250901-101913</t>
        </is>
      </c>
      <c r="B336" t="inlineStr">
        <is>
          <t>2025-09-01</t>
        </is>
      </c>
      <c r="C336" t="inlineStr">
        <is>
          <t>14:02</t>
        </is>
      </c>
      <c r="D336" t="inlineStr">
        <is>
          <t>Magasin 5 — Kaya Marché</t>
        </is>
      </c>
      <c r="E336" t="inlineStr">
        <is>
          <t>Adama Bationo</t>
        </is>
      </c>
      <c r="F336" t="inlineStr">
        <is>
          <t>0</t>
        </is>
      </c>
      <c r="G336" t="inlineStr">
        <is>
          <t>Pointe 100 mm (kg) — réf 1</t>
        </is>
      </c>
      <c r="H336" t="inlineStr">
        <is>
          <t>Quincaillerie</t>
        </is>
      </c>
      <c r="I336" t="inlineStr">
        <is>
          <t>2</t>
        </is>
      </c>
      <c r="J336" t="inlineStr">
        <is>
          <t>2550</t>
        </is>
      </c>
      <c r="K336" t="inlineStr">
        <is>
          <t>0.0</t>
        </is>
      </c>
      <c r="L336" t="inlineStr">
        <is>
          <t>5100</t>
        </is>
      </c>
      <c r="M336" t="inlineStr">
        <is>
          <t>6 018</t>
        </is>
      </c>
    </row>
    <row r="337">
      <c r="A337" t="inlineStr">
        <is>
          <t>T05-250901-101913</t>
        </is>
      </c>
      <c r="B337" t="inlineStr">
        <is>
          <t>2025-09-01</t>
        </is>
      </c>
      <c r="C337" t="inlineStr">
        <is>
          <t>15:09</t>
        </is>
      </c>
      <c r="D337" t="inlineStr">
        <is>
          <t>Magasin 5 — Kaya Marché</t>
        </is>
      </c>
      <c r="E337" t="inlineStr">
        <is>
          <t>Moussa Ilboudo</t>
        </is>
      </c>
      <c r="F337" t="inlineStr">
        <is>
          <t>1056</t>
        </is>
      </c>
      <c r="G337" t="inlineStr">
        <is>
          <t>Douche de toilettes — réf 1</t>
        </is>
      </c>
      <c r="H337" t="inlineStr">
        <is>
          <t>Plomberie</t>
        </is>
      </c>
      <c r="I337" t="inlineStr">
        <is>
          <t>2</t>
        </is>
      </c>
      <c r="J337" t="inlineStr">
        <is>
          <t>30925</t>
        </is>
      </c>
      <c r="K337" t="inlineStr">
        <is>
          <t>0.0</t>
        </is>
      </c>
      <c r="L337" t="inlineStr">
        <is>
          <t>61850</t>
        </is>
      </c>
      <c r="M337" t="inlineStr">
        <is>
          <t>72 983</t>
        </is>
      </c>
    </row>
    <row r="338">
      <c r="A338" t="inlineStr">
        <is>
          <t>T05-250901-101914</t>
        </is>
      </c>
      <c r="B338" t="inlineStr">
        <is>
          <t>2025-09-01</t>
        </is>
      </c>
      <c r="C338" t="inlineStr">
        <is>
          <t>10:06</t>
        </is>
      </c>
      <c r="D338" t="inlineStr">
        <is>
          <t>Magasin 5 — Kaya Marché</t>
        </is>
      </c>
      <c r="E338" t="inlineStr">
        <is>
          <t>Adama Bationo</t>
        </is>
      </c>
      <c r="F338" t="inlineStr">
        <is>
          <t>0</t>
        </is>
      </c>
      <c r="G338" t="inlineStr">
        <is>
          <t>Ciment CPJ45 50 kg — réf 2</t>
        </is>
      </c>
      <c r="H338" t="inlineStr">
        <is>
          <t>Matériaux</t>
        </is>
      </c>
      <c r="I338" t="inlineStr">
        <is>
          <t>2</t>
        </is>
      </c>
      <c r="J338" t="inlineStr">
        <is>
          <t>6675</t>
        </is>
      </c>
      <c r="K338" t="inlineStr">
        <is>
          <t>0.0</t>
        </is>
      </c>
      <c r="L338" t="inlineStr">
        <is>
          <t>13350</t>
        </is>
      </c>
      <c r="M338" t="inlineStr">
        <is>
          <t>15 753</t>
        </is>
      </c>
    </row>
    <row r="339">
      <c r="A339" t="inlineStr">
        <is>
          <t>T05-250901-101914</t>
        </is>
      </c>
      <c r="B339" t="inlineStr">
        <is>
          <t>2025-09-01</t>
        </is>
      </c>
      <c r="C339" t="inlineStr">
        <is>
          <t>13:08</t>
        </is>
      </c>
      <c r="D339" t="inlineStr">
        <is>
          <t>Magasin 5 — Kaya Marché</t>
        </is>
      </c>
      <c r="E339" t="inlineStr">
        <is>
          <t>Salamatu Sankara</t>
        </is>
      </c>
      <c r="F339" t="inlineStr">
        <is>
          <t>18698</t>
        </is>
      </c>
      <c r="G339" t="inlineStr">
        <is>
          <t>Brouette en kit — réf 1</t>
        </is>
      </c>
      <c r="H339" t="inlineStr">
        <is>
          <t>Consommables</t>
        </is>
      </c>
      <c r="I339" t="inlineStr">
        <is>
          <t>5</t>
        </is>
      </c>
      <c r="J339" t="inlineStr">
        <is>
          <t>9100</t>
        </is>
      </c>
      <c r="K339" t="inlineStr">
        <is>
          <t>0.0</t>
        </is>
      </c>
      <c r="L339" t="inlineStr">
        <is>
          <t>45500</t>
        </is>
      </c>
      <c r="M339" t="inlineStr">
        <is>
          <t>53 690</t>
        </is>
      </c>
    </row>
    <row r="340">
      <c r="A340" t="inlineStr">
        <is>
          <t>T05-250901-101914</t>
        </is>
      </c>
      <c r="B340" t="inlineStr">
        <is>
          <t>2025-09-01</t>
        </is>
      </c>
      <c r="C340" t="inlineStr">
        <is>
          <t>07:24</t>
        </is>
      </c>
      <c r="D340" t="inlineStr">
        <is>
          <t>Magasin 5 — Kaya Marché</t>
        </is>
      </c>
      <c r="E340" t="inlineStr">
        <is>
          <t>Adama Bationo</t>
        </is>
      </c>
      <c r="F340" t="inlineStr">
        <is>
          <t>16822</t>
        </is>
      </c>
      <c r="G340" t="inlineStr">
        <is>
          <t>Lampe torche rechargeable — réf 1</t>
        </is>
      </c>
      <c r="H340" t="inlineStr">
        <is>
          <t>Electricité</t>
        </is>
      </c>
      <c r="I340" t="inlineStr">
        <is>
          <t>20</t>
        </is>
      </c>
      <c r="J340" t="inlineStr">
        <is>
          <t>20350</t>
        </is>
      </c>
      <c r="K340" t="inlineStr">
        <is>
          <t>0.04</t>
        </is>
      </c>
      <c r="L340" t="inlineStr">
        <is>
          <t>390720</t>
        </is>
      </c>
      <c r="M340" t="inlineStr">
        <is>
          <t>461 050</t>
        </is>
      </c>
    </row>
    <row r="341">
      <c r="A341" t="inlineStr">
        <is>
          <t>T05-250901-101915</t>
        </is>
      </c>
      <c r="B341" t="inlineStr">
        <is>
          <t>2025-09-01</t>
        </is>
      </c>
      <c r="C341" t="inlineStr">
        <is>
          <t>13:14</t>
        </is>
      </c>
      <c r="D341" t="inlineStr">
        <is>
          <t>Magasin 5 — Kaya Marché</t>
        </is>
      </c>
      <c r="E341" t="inlineStr">
        <is>
          <t>Adama Bationo</t>
        </is>
      </c>
      <c r="F341" t="inlineStr">
        <is>
          <t>21039</t>
        </is>
      </c>
      <c r="G341" t="inlineStr">
        <is>
          <t>Casque de chantier — réf 1</t>
        </is>
      </c>
      <c r="H341" t="inlineStr">
        <is>
          <t>Consommables</t>
        </is>
      </c>
      <c r="I341" t="inlineStr">
        <is>
          <t>6</t>
        </is>
      </c>
      <c r="J341" t="inlineStr">
        <is>
          <t>8375</t>
        </is>
      </c>
      <c r="K341" t="inlineStr">
        <is>
          <t>0.0</t>
        </is>
      </c>
      <c r="L341" t="inlineStr">
        <is>
          <t>50250</t>
        </is>
      </c>
      <c r="M341" t="inlineStr">
        <is>
          <t>59 295</t>
        </is>
      </c>
    </row>
    <row r="342">
      <c r="A342" t="inlineStr">
        <is>
          <t>T05-250901-101915</t>
        </is>
      </c>
      <c r="B342" t="inlineStr">
        <is>
          <t>2025-09-01</t>
        </is>
      </c>
      <c r="C342" t="inlineStr">
        <is>
          <t>15:56</t>
        </is>
      </c>
      <c r="D342" t="inlineStr">
        <is>
          <t>Magasin 5 — Kaya Marché</t>
        </is>
      </c>
      <c r="E342" t="inlineStr">
        <is>
          <t>Salamatu Sankara</t>
        </is>
      </c>
      <c r="F342" t="inlineStr">
        <is>
          <t>4285</t>
        </is>
      </c>
      <c r="G342" t="inlineStr">
        <is>
          <t>Vis à bois 4x40 (boîte) — réf 1</t>
        </is>
      </c>
      <c r="H342" t="inlineStr">
        <is>
          <t>Quincaillerie</t>
        </is>
      </c>
      <c r="I342" t="inlineStr">
        <is>
          <t>31</t>
        </is>
      </c>
      <c r="J342" t="inlineStr">
        <is>
          <t>1825</t>
        </is>
      </c>
      <c r="K342" t="inlineStr">
        <is>
          <t>0.0</t>
        </is>
      </c>
      <c r="L342" t="inlineStr">
        <is>
          <t>56575</t>
        </is>
      </c>
      <c r="M342" t="inlineStr">
        <is>
          <t>66 759</t>
        </is>
      </c>
    </row>
    <row r="343">
      <c r="A343" t="inlineStr">
        <is>
          <t>T05-250901-101915</t>
        </is>
      </c>
      <c r="B343" t="inlineStr">
        <is>
          <t>2025-09-01</t>
        </is>
      </c>
      <c r="C343" t="inlineStr">
        <is>
          <t>17:32</t>
        </is>
      </c>
      <c r="D343" t="inlineStr">
        <is>
          <t>Magasin 5 — Kaya Marché</t>
        </is>
      </c>
      <c r="E343" t="inlineStr">
        <is>
          <t>Moussa Ilboudo</t>
        </is>
      </c>
      <c r="F343" t="inlineStr">
        <is>
          <t>18478</t>
        </is>
      </c>
      <c r="G343" t="inlineStr">
        <is>
          <t>Ciment CPJ35 50 kg — réf 1</t>
        </is>
      </c>
      <c r="H343" t="inlineStr">
        <is>
          <t>Matériaux</t>
        </is>
      </c>
      <c r="I343" t="inlineStr">
        <is>
          <t>7</t>
        </is>
      </c>
      <c r="J343" t="inlineStr">
        <is>
          <t>6000</t>
        </is>
      </c>
      <c r="K343" t="inlineStr">
        <is>
          <t>0.04</t>
        </is>
      </c>
      <c r="L343" t="inlineStr">
        <is>
          <t>40320</t>
        </is>
      </c>
      <c r="M343" t="inlineStr">
        <is>
          <t>47 578</t>
        </is>
      </c>
    </row>
    <row r="344">
      <c r="A344" t="inlineStr">
        <is>
          <t>T05-250901-101916</t>
        </is>
      </c>
      <c r="B344" t="inlineStr">
        <is>
          <t>2025-09-01</t>
        </is>
      </c>
      <c r="C344" t="inlineStr">
        <is>
          <t>14:22</t>
        </is>
      </c>
      <c r="D344" t="inlineStr">
        <is>
          <t>Magasin 5 — Kaya Marché</t>
        </is>
      </c>
      <c r="E344" t="inlineStr">
        <is>
          <t>Boureima Ouédraogo</t>
        </is>
      </c>
      <c r="F344" t="inlineStr">
        <is>
          <t>8744</t>
        </is>
      </c>
      <c r="G344" t="inlineStr">
        <is>
          <t>Brouette 90 L — réf 1</t>
        </is>
      </c>
      <c r="H344" t="inlineStr">
        <is>
          <t>Consommables</t>
        </is>
      </c>
      <c r="I344" t="inlineStr">
        <is>
          <t>4</t>
        </is>
      </c>
      <c r="J344" t="inlineStr">
        <is>
          <t>5050</t>
        </is>
      </c>
      <c r="K344" t="inlineStr">
        <is>
          <t>0.04</t>
        </is>
      </c>
      <c r="L344" t="inlineStr">
        <is>
          <t>19392</t>
        </is>
      </c>
      <c r="M344" t="inlineStr">
        <is>
          <t>22 883</t>
        </is>
      </c>
    </row>
    <row r="345">
      <c r="A345" t="inlineStr">
        <is>
          <t>T05-250901-101916</t>
        </is>
      </c>
      <c r="B345" t="inlineStr">
        <is>
          <t>2025-09-01</t>
        </is>
      </c>
      <c r="C345" t="inlineStr">
        <is>
          <t>09:33</t>
        </is>
      </c>
      <c r="D345" t="inlineStr">
        <is>
          <t>Magasin 5 — Kaya Marché</t>
        </is>
      </c>
      <c r="E345" t="inlineStr">
        <is>
          <t>Moussa Ilboudo</t>
        </is>
      </c>
      <c r="F345" t="inlineStr">
        <is>
          <t>0</t>
        </is>
      </c>
      <c r="G345" t="inlineStr">
        <is>
          <t>Brouette 90 L — réf 1</t>
        </is>
      </c>
      <c r="H345" t="inlineStr">
        <is>
          <t>Consommables</t>
        </is>
      </c>
      <c r="I345" t="inlineStr">
        <is>
          <t>13</t>
        </is>
      </c>
      <c r="J345" t="inlineStr">
        <is>
          <t>5200</t>
        </is>
      </c>
      <c r="K345" t="inlineStr">
        <is>
          <t>0.0</t>
        </is>
      </c>
      <c r="L345" t="inlineStr">
        <is>
          <t>67600</t>
        </is>
      </c>
      <c r="M345" t="inlineStr">
        <is>
          <t>79 768</t>
        </is>
      </c>
    </row>
    <row r="346">
      <c r="A346" t="inlineStr">
        <is>
          <t>T05-250901-101916</t>
        </is>
      </c>
      <c r="B346" t="inlineStr">
        <is>
          <t>2025-09-01</t>
        </is>
      </c>
      <c r="C346" t="inlineStr">
        <is>
          <t>14:49</t>
        </is>
      </c>
      <c r="D346" t="inlineStr">
        <is>
          <t>Magasin 5 — Kaya Marché</t>
        </is>
      </c>
      <c r="E346" t="inlineStr">
        <is>
          <t>Moussa Ilboudo</t>
        </is>
      </c>
      <c r="F346" t="inlineStr">
        <is>
          <t>5480</t>
        </is>
      </c>
      <c r="G346" t="inlineStr">
        <is>
          <t>Peinture glycéro 1 L — réf 1</t>
        </is>
      </c>
      <c r="H346" t="inlineStr">
        <is>
          <t>Peinture</t>
        </is>
      </c>
      <c r="I346" t="inlineStr">
        <is>
          <t>4</t>
        </is>
      </c>
      <c r="J346" t="inlineStr">
        <is>
          <t>3175</t>
        </is>
      </c>
      <c r="K346" t="inlineStr">
        <is>
          <t>0.0</t>
        </is>
      </c>
      <c r="L346" t="inlineStr">
        <is>
          <t>12700</t>
        </is>
      </c>
      <c r="M346" t="inlineStr">
        <is>
          <t>14 986</t>
        </is>
      </c>
    </row>
    <row r="347">
      <c r="A347" t="inlineStr">
        <is>
          <t>T05-250901-101917</t>
        </is>
      </c>
      <c r="B347" t="inlineStr">
        <is>
          <t>2025-09-01</t>
        </is>
      </c>
      <c r="C347" t="inlineStr">
        <is>
          <t>14:45</t>
        </is>
      </c>
      <c r="D347" t="inlineStr">
        <is>
          <t>Magasin 5 — Kaya Marché</t>
        </is>
      </c>
      <c r="E347" t="inlineStr">
        <is>
          <t>Adama Bationo</t>
        </is>
      </c>
      <c r="F347" t="inlineStr">
        <is>
          <t>5882</t>
        </is>
      </c>
      <c r="G347" t="inlineStr">
        <is>
          <t>Marteau de menuisier — réf 2</t>
        </is>
      </c>
      <c r="H347" t="inlineStr">
        <is>
          <t>Quincaillerie</t>
        </is>
      </c>
      <c r="I347" t="inlineStr">
        <is>
          <t>6</t>
        </is>
      </c>
      <c r="J347" t="inlineStr">
        <is>
          <t>8650</t>
        </is>
      </c>
      <c r="K347" t="inlineStr">
        <is>
          <t>0.08</t>
        </is>
      </c>
      <c r="L347" t="inlineStr">
        <is>
          <t>47748</t>
        </is>
      </c>
      <c r="M347" t="inlineStr">
        <is>
          <t>56 343</t>
        </is>
      </c>
    </row>
    <row r="348">
      <c r="A348" t="inlineStr">
        <is>
          <t>T05-250901-101917</t>
        </is>
      </c>
      <c r="B348" t="inlineStr">
        <is>
          <t>2025-09-01</t>
        </is>
      </c>
      <c r="C348" t="inlineStr">
        <is>
          <t>11:54</t>
        </is>
      </c>
      <c r="D348" t="inlineStr">
        <is>
          <t>Magasin 5 — Kaya Marché</t>
        </is>
      </c>
      <c r="E348" t="inlineStr">
        <is>
          <t>Boureima Ouédraogo</t>
        </is>
      </c>
      <c r="F348" t="inlineStr">
        <is>
          <t>5046</t>
        </is>
      </c>
      <c r="G348" t="inlineStr">
        <is>
          <t>Brique de terre cuite — réf 2</t>
        </is>
      </c>
      <c r="H348" t="inlineStr">
        <is>
          <t>Matériaux</t>
        </is>
      </c>
      <c r="I348" t="inlineStr">
        <is>
          <t>3</t>
        </is>
      </c>
      <c r="J348" t="inlineStr">
        <is>
          <t>675</t>
        </is>
      </c>
      <c r="K348" t="inlineStr">
        <is>
          <t>0.0</t>
        </is>
      </c>
      <c r="L348" t="inlineStr">
        <is>
          <t>2025</t>
        </is>
      </c>
      <c r="M348" t="inlineStr">
        <is>
          <t>2 389</t>
        </is>
      </c>
    </row>
    <row r="349">
      <c r="A349" t="inlineStr">
        <is>
          <t>T05-250901-101917</t>
        </is>
      </c>
      <c r="B349" t="inlineStr">
        <is>
          <t>2025-09-01</t>
        </is>
      </c>
      <c r="C349" t="inlineStr">
        <is>
          <t>07:30</t>
        </is>
      </c>
      <c r="D349" t="inlineStr">
        <is>
          <t>Magasin 5 — Kaya Marché</t>
        </is>
      </c>
      <c r="E349" t="inlineStr">
        <is>
          <t>Salamatu Sankara</t>
        </is>
      </c>
      <c r="F349" t="inlineStr">
        <is>
          <t>0</t>
        </is>
      </c>
      <c r="G349" t="inlineStr">
        <is>
          <t>Ballon d'eau chaude 50 L — réf 2</t>
        </is>
      </c>
      <c r="H349" t="inlineStr">
        <is>
          <t>Plomberie</t>
        </is>
      </c>
      <c r="I349" t="inlineStr">
        <is>
          <t>7</t>
        </is>
      </c>
      <c r="J349" t="inlineStr">
        <is>
          <t>36150</t>
        </is>
      </c>
      <c r="K349" t="inlineStr">
        <is>
          <t>0.0</t>
        </is>
      </c>
      <c r="L349" t="inlineStr">
        <is>
          <t>253050</t>
        </is>
      </c>
      <c r="M349" t="inlineStr">
        <is>
          <t>298 599</t>
        </is>
      </c>
    </row>
    <row r="350">
      <c r="A350" t="inlineStr">
        <is>
          <t>T05-250901-101918</t>
        </is>
      </c>
      <c r="B350" t="inlineStr">
        <is>
          <t>2025-09-01</t>
        </is>
      </c>
      <c r="C350" t="inlineStr">
        <is>
          <t>14:21</t>
        </is>
      </c>
      <c r="D350" t="inlineStr">
        <is>
          <t>Magasin 5 — Kaya Marché</t>
        </is>
      </c>
      <c r="E350" t="inlineStr">
        <is>
          <t>Moussa Ilboudo</t>
        </is>
      </c>
      <c r="F350" t="inlineStr">
        <is>
          <t>0</t>
        </is>
      </c>
      <c r="G350" t="inlineStr">
        <is>
          <t>Baguette de finition 2,4 m — réf 1</t>
        </is>
      </c>
      <c r="H350" t="inlineStr">
        <is>
          <t>Bois &amp; panneaux</t>
        </is>
      </c>
      <c r="I350" t="inlineStr">
        <is>
          <t>5</t>
        </is>
      </c>
      <c r="J350" t="inlineStr">
        <is>
          <t>10950</t>
        </is>
      </c>
      <c r="K350" t="inlineStr">
        <is>
          <t>0.0</t>
        </is>
      </c>
      <c r="L350" t="inlineStr">
        <is>
          <t>54750</t>
        </is>
      </c>
      <c r="M350" t="inlineStr">
        <is>
          <t>64 605</t>
        </is>
      </c>
    </row>
    <row r="351">
      <c r="A351" t="inlineStr">
        <is>
          <t>T05-250901-101918</t>
        </is>
      </c>
      <c r="B351" t="inlineStr">
        <is>
          <t>2025-09-01</t>
        </is>
      </c>
      <c r="C351" t="inlineStr">
        <is>
          <t>12:18</t>
        </is>
      </c>
      <c r="D351" t="inlineStr">
        <is>
          <t>Magasin 5 — Kaya Marché</t>
        </is>
      </c>
      <c r="E351" t="inlineStr">
        <is>
          <t>Boureima Ouédraogo</t>
        </is>
      </c>
      <c r="F351" t="inlineStr"/>
      <c r="G351" t="inlineStr">
        <is>
          <t>Lavabo céramique — réf 2</t>
        </is>
      </c>
      <c r="H351" t="inlineStr">
        <is>
          <t>Plomberie</t>
        </is>
      </c>
      <c r="I351" t="inlineStr">
        <is>
          <t>1</t>
        </is>
      </c>
      <c r="J351" t="inlineStr">
        <is>
          <t>39725</t>
        </is>
      </c>
      <c r="K351" t="inlineStr">
        <is>
          <t>0.04</t>
        </is>
      </c>
      <c r="L351" t="inlineStr">
        <is>
          <t>38136</t>
        </is>
      </c>
      <c r="M351" t="inlineStr">
        <is>
          <t>45 000</t>
        </is>
      </c>
    </row>
    <row r="352">
      <c r="A352" t="inlineStr">
        <is>
          <t>T05-250901-101918</t>
        </is>
      </c>
      <c r="B352" t="inlineStr">
        <is>
          <t>01/09/2025</t>
        </is>
      </c>
      <c r="C352" t="inlineStr">
        <is>
          <t>07:38</t>
        </is>
      </c>
      <c r="D352" t="inlineStr">
        <is>
          <t>Magasin 5 — Kaya Marché</t>
        </is>
      </c>
      <c r="E352" t="inlineStr">
        <is>
          <t>Salamatu Sankara</t>
        </is>
      </c>
      <c r="F352" t="inlineStr">
        <is>
          <t>1635</t>
        </is>
      </c>
      <c r="G352" t="inlineStr">
        <is>
          <t>Vis à bois 4x40 (boîte) — réf 1</t>
        </is>
      </c>
      <c r="H352" t="inlineStr">
        <is>
          <t>Quincaillerie</t>
        </is>
      </c>
      <c r="I352" t="inlineStr">
        <is>
          <t>-13</t>
        </is>
      </c>
      <c r="J352" t="inlineStr">
        <is>
          <t>1750</t>
        </is>
      </c>
      <c r="K352" t="inlineStr">
        <is>
          <t>0.04</t>
        </is>
      </c>
      <c r="L352" t="inlineStr">
        <is>
          <t>-21840</t>
        </is>
      </c>
      <c r="M352" t="inlineStr">
        <is>
          <t>-25 771</t>
        </is>
      </c>
    </row>
    <row r="353">
      <c r="A353" t="inlineStr">
        <is>
          <t>T05-250901-101919</t>
        </is>
      </c>
      <c r="B353" t="inlineStr">
        <is>
          <t>2025-09-01</t>
        </is>
      </c>
      <c r="C353" t="inlineStr">
        <is>
          <t>10:04</t>
        </is>
      </c>
      <c r="D353" t="inlineStr">
        <is>
          <t>Magasin 5 — Kaya Marché</t>
        </is>
      </c>
      <c r="E353" t="inlineStr">
        <is>
          <t>Adama Bationo</t>
        </is>
      </c>
      <c r="F353" t="inlineStr">
        <is>
          <t>1359</t>
        </is>
      </c>
      <c r="G353" t="inlineStr">
        <is>
          <t>Meuleuse 125 mm — réf 2</t>
        </is>
      </c>
      <c r="H353" t="inlineStr">
        <is>
          <t>Quincaillerie</t>
        </is>
      </c>
      <c r="I353" t="inlineStr">
        <is>
          <t>8</t>
        </is>
      </c>
      <c r="J353" t="inlineStr">
        <is>
          <t>5800</t>
        </is>
      </c>
      <c r="K353" t="inlineStr">
        <is>
          <t>0.0</t>
        </is>
      </c>
      <c r="L353" t="inlineStr">
        <is>
          <t>46400</t>
        </is>
      </c>
      <c r="M353" t="inlineStr">
        <is>
          <t>54 752</t>
        </is>
      </c>
    </row>
    <row r="354">
      <c r="A354" t="inlineStr">
        <is>
          <t>T05-250901-101919</t>
        </is>
      </c>
      <c r="B354" t="inlineStr">
        <is>
          <t>2025-09-01</t>
        </is>
      </c>
      <c r="C354" t="inlineStr">
        <is>
          <t>07:05</t>
        </is>
      </c>
      <c r="D354" t="inlineStr">
        <is>
          <t>Magasin 5 — Kaya Marché</t>
        </is>
      </c>
      <c r="E354" t="inlineStr">
        <is>
          <t>Moussa Ilboudo</t>
        </is>
      </c>
      <c r="F354" t="inlineStr">
        <is>
          <t>0</t>
        </is>
      </c>
      <c r="G354" t="inlineStr">
        <is>
          <t>Plâtre de construction 25 kg — réf 2</t>
        </is>
      </c>
      <c r="H354" t="inlineStr">
        <is>
          <t>Matériaux</t>
        </is>
      </c>
      <c r="I354" t="inlineStr">
        <is>
          <t>2</t>
        </is>
      </c>
      <c r="J354" t="inlineStr">
        <is>
          <t>6000</t>
        </is>
      </c>
      <c r="K354" t="inlineStr">
        <is>
          <t>0.0</t>
        </is>
      </c>
      <c r="L354" t="inlineStr">
        <is>
          <t>12000</t>
        </is>
      </c>
      <c r="M354" t="inlineStr">
        <is>
          <t>14 160</t>
        </is>
      </c>
    </row>
    <row r="355">
      <c r="A355" t="inlineStr">
        <is>
          <t>T05-250901-101919</t>
        </is>
      </c>
      <c r="B355" t="inlineStr">
        <is>
          <t>01/09/2025</t>
        </is>
      </c>
      <c r="C355" t="inlineStr">
        <is>
          <t>17:51</t>
        </is>
      </c>
      <c r="D355" t="inlineStr">
        <is>
          <t>Magasin 5 — Kaya Marché</t>
        </is>
      </c>
      <c r="E355" t="inlineStr">
        <is>
          <t>Moussa Ilboudo</t>
        </is>
      </c>
      <c r="F355" t="inlineStr">
        <is>
          <t>17387</t>
        </is>
      </c>
      <c r="G355" t="inlineStr">
        <is>
          <t>Parpaing 15 aggloméré — réf 1</t>
        </is>
      </c>
      <c r="H355" t="inlineStr">
        <is>
          <t>Matériaux</t>
        </is>
      </c>
      <c r="I355" t="inlineStr">
        <is>
          <t>9</t>
        </is>
      </c>
      <c r="J355" t="inlineStr">
        <is>
          <t>1500</t>
        </is>
      </c>
      <c r="K355" t="inlineStr">
        <is>
          <t>0.0</t>
        </is>
      </c>
      <c r="L355" t="inlineStr">
        <is>
          <t>13500</t>
        </is>
      </c>
      <c r="M355" t="inlineStr">
        <is>
          <t>15 930</t>
        </is>
      </c>
    </row>
    <row r="356">
      <c r="A356" t="inlineStr">
        <is>
          <t>T05-250901-101920</t>
        </is>
      </c>
      <c r="B356" t="inlineStr">
        <is>
          <t>2025-09-01</t>
        </is>
      </c>
      <c r="C356" t="inlineStr">
        <is>
          <t>18:24</t>
        </is>
      </c>
      <c r="D356" t="inlineStr">
        <is>
          <t>Magasin 5 — Kaya Marché</t>
        </is>
      </c>
      <c r="E356" t="inlineStr">
        <is>
          <t>Adama Bationo</t>
        </is>
      </c>
      <c r="F356" t="inlineStr">
        <is>
          <t>21989</t>
        </is>
      </c>
      <c r="G356" t="inlineStr">
        <is>
          <t>Té fonte 100 — réf 1</t>
        </is>
      </c>
      <c r="H356" t="inlineStr">
        <is>
          <t>Plomberie</t>
        </is>
      </c>
      <c r="I356" t="inlineStr">
        <is>
          <t>11</t>
        </is>
      </c>
      <c r="J356" t="inlineStr">
        <is>
          <t>3125</t>
        </is>
      </c>
      <c r="K356" t="inlineStr">
        <is>
          <t>0.08</t>
        </is>
      </c>
      <c r="L356" t="inlineStr">
        <is>
          <t>31625</t>
        </is>
      </c>
      <c r="M356" t="inlineStr">
        <is>
          <t>37 317</t>
        </is>
      </c>
    </row>
    <row r="357">
      <c r="A357" t="inlineStr">
        <is>
          <t>T05-250901-101920</t>
        </is>
      </c>
      <c r="B357" t="inlineStr">
        <is>
          <t>2025-09-01</t>
        </is>
      </c>
      <c r="C357" t="inlineStr">
        <is>
          <t>13:53</t>
        </is>
      </c>
      <c r="D357" t="inlineStr">
        <is>
          <t>Magasin 5 — Kaya Marché</t>
        </is>
      </c>
      <c r="E357" t="inlineStr">
        <is>
          <t>Boureima Ouédraogo</t>
        </is>
      </c>
      <c r="F357" t="inlineStr">
        <is>
          <t>0</t>
        </is>
      </c>
      <c r="G357" t="inlineStr">
        <is>
          <t>Raccord laiton 20/27 — réf 1</t>
        </is>
      </c>
      <c r="H357" t="inlineStr">
        <is>
          <t>Plomberie</t>
        </is>
      </c>
      <c r="I357" t="inlineStr">
        <is>
          <t>3</t>
        </is>
      </c>
      <c r="J357" t="inlineStr">
        <is>
          <t>4725</t>
        </is>
      </c>
      <c r="K357" t="inlineStr">
        <is>
          <t>0.0</t>
        </is>
      </c>
      <c r="L357" t="inlineStr">
        <is>
          <t>14175</t>
        </is>
      </c>
      <c r="M357" t="inlineStr">
        <is>
          <t>16 727</t>
        </is>
      </c>
    </row>
    <row r="358">
      <c r="A358" t="inlineStr">
        <is>
          <t>T05-250902-102024</t>
        </is>
      </c>
      <c r="B358" t="inlineStr">
        <is>
          <t>2025-09-02</t>
        </is>
      </c>
      <c r="C358" t="inlineStr">
        <is>
          <t>09:30</t>
        </is>
      </c>
      <c r="D358" t="inlineStr">
        <is>
          <t>Magasin 5 — Kaya Marché</t>
        </is>
      </c>
      <c r="E358" t="inlineStr">
        <is>
          <t>Boureima Ouédraogo</t>
        </is>
      </c>
      <c r="F358" t="inlineStr">
        <is>
          <t>11109</t>
        </is>
      </c>
      <c r="G358" t="inlineStr">
        <is>
          <t>Câble 2x1,5 (rouleau 100 m) — réf 1</t>
        </is>
      </c>
      <c r="H358" t="inlineStr">
        <is>
          <t>Electricité</t>
        </is>
      </c>
      <c r="I358" t="inlineStr">
        <is>
          <t>7</t>
        </is>
      </c>
      <c r="J358" t="inlineStr">
        <is>
          <t>12400</t>
        </is>
      </c>
      <c r="K358" t="inlineStr">
        <is>
          <t>0.04</t>
        </is>
      </c>
      <c r="L358" t="inlineStr">
        <is>
          <t>83328</t>
        </is>
      </c>
      <c r="M358" t="inlineStr">
        <is>
          <t>98 327</t>
        </is>
      </c>
    </row>
    <row r="359">
      <c r="A359" t="inlineStr">
        <is>
          <t>T05-250902-102024</t>
        </is>
      </c>
      <c r="B359" t="inlineStr">
        <is>
          <t>2025-09-02</t>
        </is>
      </c>
      <c r="C359" t="inlineStr">
        <is>
          <t>09:30</t>
        </is>
      </c>
      <c r="D359" t="inlineStr">
        <is>
          <t>Magasin 5 — Kaya Marché</t>
        </is>
      </c>
      <c r="E359" t="inlineStr">
        <is>
          <t>Boureima Ouédraogo</t>
        </is>
      </c>
      <c r="F359" t="inlineStr">
        <is>
          <t>1616</t>
        </is>
      </c>
      <c r="G359" t="inlineStr">
        <is>
          <t>Enduit de lissage 20 kg — réf 1</t>
        </is>
      </c>
      <c r="H359" t="inlineStr">
        <is>
          <t>Matériaux</t>
        </is>
      </c>
      <c r="I359" t="inlineStr">
        <is>
          <t>3</t>
        </is>
      </c>
      <c r="J359" t="inlineStr">
        <is>
          <t>7500</t>
        </is>
      </c>
      <c r="K359" t="inlineStr">
        <is>
          <t>0.04</t>
        </is>
      </c>
      <c r="L359" t="inlineStr">
        <is>
          <t>21600</t>
        </is>
      </c>
      <c r="M359" t="inlineStr">
        <is>
          <t>25 488</t>
        </is>
      </c>
    </row>
    <row r="360">
      <c r="A360" t="inlineStr">
        <is>
          <t>T05-250902-102024</t>
        </is>
      </c>
      <c r="B360" t="inlineStr">
        <is>
          <t>2025-09-02</t>
        </is>
      </c>
      <c r="C360" t="inlineStr">
        <is>
          <t>10:43</t>
        </is>
      </c>
      <c r="D360" t="inlineStr">
        <is>
          <t>Magasin 5 — Kaya Marché</t>
        </is>
      </c>
      <c r="E360" t="inlineStr">
        <is>
          <t>Moussa Ilboudo</t>
        </is>
      </c>
      <c r="F360" t="inlineStr">
        <is>
          <t>14729</t>
        </is>
      </c>
      <c r="G360" t="inlineStr">
        <is>
          <t>Écrou hexagonal 10 (sachet) — réf 1</t>
        </is>
      </c>
      <c r="H360" t="inlineStr">
        <is>
          <t>Quincaillerie</t>
        </is>
      </c>
      <c r="I360" t="inlineStr">
        <is>
          <t>4</t>
        </is>
      </c>
      <c r="J360" t="inlineStr">
        <is>
          <t>1450</t>
        </is>
      </c>
      <c r="K360" t="inlineStr">
        <is>
          <t>0.04</t>
        </is>
      </c>
      <c r="L360" t="inlineStr">
        <is>
          <t>5568</t>
        </is>
      </c>
      <c r="M360" t="inlineStr">
        <is>
          <t>6 570</t>
        </is>
      </c>
    </row>
    <row r="361">
      <c r="A361" t="inlineStr">
        <is>
          <t>T05-250902-102025</t>
        </is>
      </c>
      <c r="B361" t="inlineStr">
        <is>
          <t>2025-09-02</t>
        </is>
      </c>
      <c r="C361" t="inlineStr">
        <is>
          <t>18:05</t>
        </is>
      </c>
      <c r="D361" t="inlineStr">
        <is>
          <t>Magasin 5 — Kaya Marché</t>
        </is>
      </c>
      <c r="E361" t="inlineStr">
        <is>
          <t>Salamatu Sankara</t>
        </is>
      </c>
      <c r="F361" t="inlineStr">
        <is>
          <t>1462</t>
        </is>
      </c>
      <c r="G361" t="inlineStr">
        <is>
          <t>Antirouille rouge brique 1 L — réf 1</t>
        </is>
      </c>
      <c r="H361" t="inlineStr">
        <is>
          <t>Peinture</t>
        </is>
      </c>
      <c r="I361" t="inlineStr">
        <is>
          <t>15</t>
        </is>
      </c>
      <c r="J361" t="inlineStr">
        <is>
          <t>5000</t>
        </is>
      </c>
      <c r="K361" t="inlineStr">
        <is>
          <t>0.0</t>
        </is>
      </c>
      <c r="L361" t="inlineStr">
        <is>
          <t>75000</t>
        </is>
      </c>
      <c r="M361" t="inlineStr">
        <is>
          <t>88 500</t>
        </is>
      </c>
    </row>
    <row r="362">
      <c r="A362" t="inlineStr">
        <is>
          <t>T05-250902-102025</t>
        </is>
      </c>
      <c r="B362" t="inlineStr">
        <is>
          <t>2025-09-02</t>
        </is>
      </c>
      <c r="C362" t="inlineStr">
        <is>
          <t>11:35</t>
        </is>
      </c>
      <c r="D362" t="inlineStr">
        <is>
          <t>Magasin 5 — Kaya Marché</t>
        </is>
      </c>
      <c r="E362" t="inlineStr">
        <is>
          <t>Adama Bationo</t>
        </is>
      </c>
      <c r="F362" t="inlineStr">
        <is>
          <t>9061</t>
        </is>
      </c>
      <c r="G362" t="inlineStr">
        <is>
          <t>Batterie à décharge lente 120 Ah — réf 2</t>
        </is>
      </c>
      <c r="H362" t="inlineStr">
        <is>
          <t>Electricité</t>
        </is>
      </c>
      <c r="I362" t="inlineStr">
        <is>
          <t>2</t>
        </is>
      </c>
      <c r="J362" t="inlineStr">
        <is>
          <t>19375</t>
        </is>
      </c>
      <c r="K362" t="inlineStr">
        <is>
          <t>0.0</t>
        </is>
      </c>
      <c r="L362" t="inlineStr">
        <is>
          <t>38750</t>
        </is>
      </c>
      <c r="M362" t="inlineStr">
        <is>
          <t>45 725</t>
        </is>
      </c>
    </row>
    <row r="363">
      <c r="A363" t="inlineStr">
        <is>
          <t>T05-250902-102026</t>
        </is>
      </c>
      <c r="B363" t="inlineStr">
        <is>
          <t>2025-09-02</t>
        </is>
      </c>
      <c r="C363" t="inlineStr">
        <is>
          <t>18:29</t>
        </is>
      </c>
      <c r="D363" t="inlineStr">
        <is>
          <t>Magasin 5 — Kaya Marché</t>
        </is>
      </c>
      <c r="E363" t="inlineStr">
        <is>
          <t>Adama Bationo</t>
        </is>
      </c>
      <c r="F363" t="inlineStr">
        <is>
          <t>0</t>
        </is>
      </c>
      <c r="G363" t="inlineStr">
        <is>
          <t>Lame de lambris 4 m — réf 2</t>
        </is>
      </c>
      <c r="H363" t="inlineStr">
        <is>
          <t>Bois &amp; panneaux</t>
        </is>
      </c>
      <c r="I363" t="inlineStr">
        <is>
          <t>68</t>
        </is>
      </c>
      <c r="J363" t="inlineStr">
        <is>
          <t>15325</t>
        </is>
      </c>
      <c r="K363" t="inlineStr">
        <is>
          <t>0.0</t>
        </is>
      </c>
      <c r="L363" t="inlineStr">
        <is>
          <t>1042100</t>
        </is>
      </c>
      <c r="M363" t="inlineStr">
        <is>
          <t>1 229 678</t>
        </is>
      </c>
    </row>
    <row r="364">
      <c r="A364" t="inlineStr">
        <is>
          <t>T05-250902-102026</t>
        </is>
      </c>
      <c r="B364" t="inlineStr">
        <is>
          <t>2025-09-02</t>
        </is>
      </c>
      <c r="C364" t="inlineStr">
        <is>
          <t>08:00</t>
        </is>
      </c>
      <c r="D364" t="inlineStr">
        <is>
          <t>Magasin 5 — Kaya Marché</t>
        </is>
      </c>
      <c r="E364" t="inlineStr">
        <is>
          <t>Adama Bationo</t>
        </is>
      </c>
      <c r="F364" t="inlineStr">
        <is>
          <t>4171</t>
        </is>
      </c>
      <c r="G364" t="inlineStr">
        <is>
          <t>Tout-venant (m3) — réf 1</t>
        </is>
      </c>
      <c r="H364" t="inlineStr">
        <is>
          <t>Matériaux</t>
        </is>
      </c>
      <c r="I364" t="inlineStr">
        <is>
          <t>6</t>
        </is>
      </c>
      <c r="J364" t="inlineStr">
        <is>
          <t>16100</t>
        </is>
      </c>
      <c r="K364" t="inlineStr">
        <is>
          <t>0.0</t>
        </is>
      </c>
      <c r="L364" t="inlineStr">
        <is>
          <t>96600</t>
        </is>
      </c>
      <c r="M364" t="inlineStr">
        <is>
          <t>113 988</t>
        </is>
      </c>
    </row>
    <row r="365">
      <c r="A365" t="inlineStr">
        <is>
          <t>T05-250902-102027</t>
        </is>
      </c>
      <c r="B365" t="inlineStr">
        <is>
          <t>2025-09-02</t>
        </is>
      </c>
      <c r="C365" t="inlineStr">
        <is>
          <t>15:08</t>
        </is>
      </c>
      <c r="D365" t="inlineStr">
        <is>
          <t>Magasin 5 — Kaya Marché</t>
        </is>
      </c>
      <c r="E365" t="inlineStr">
        <is>
          <t>Boureima Ouédraogo</t>
        </is>
      </c>
      <c r="F365" t="inlineStr">
        <is>
          <t>13902</t>
        </is>
      </c>
      <c r="G365" t="inlineStr">
        <is>
          <t>Tout-venant (m3) — réf 2</t>
        </is>
      </c>
      <c r="H365" t="inlineStr">
        <is>
          <t>Matériaux</t>
        </is>
      </c>
      <c r="I365" t="inlineStr">
        <is>
          <t>2</t>
        </is>
      </c>
      <c r="J365" t="inlineStr">
        <is>
          <t>23150</t>
        </is>
      </c>
      <c r="K365" t="inlineStr">
        <is>
          <t>0.0</t>
        </is>
      </c>
      <c r="L365" t="inlineStr">
        <is>
          <t>46300</t>
        </is>
      </c>
      <c r="M365" t="inlineStr">
        <is>
          <t>54 634</t>
        </is>
      </c>
    </row>
    <row r="366">
      <c r="A366" t="inlineStr">
        <is>
          <t>T05-250902-102027</t>
        </is>
      </c>
      <c r="B366" t="inlineStr">
        <is>
          <t>2025-09-02</t>
        </is>
      </c>
      <c r="C366" t="inlineStr">
        <is>
          <t>12:52</t>
        </is>
      </c>
      <c r="D366" t="inlineStr">
        <is>
          <t>Magasin 5 — Kaya Marché</t>
        </is>
      </c>
      <c r="E366" t="inlineStr">
        <is>
          <t>Salamatu Sankara</t>
        </is>
      </c>
      <c r="F366" t="inlineStr">
        <is>
          <t>261</t>
        </is>
      </c>
      <c r="G366" t="inlineStr">
        <is>
          <t>Plaque de plâtre 13 mm — réf 2</t>
        </is>
      </c>
      <c r="H366" t="inlineStr">
        <is>
          <t>Bois &amp; panneaux</t>
        </is>
      </c>
      <c r="I366" t="inlineStr">
        <is>
          <t>10</t>
        </is>
      </c>
      <c r="J366" t="inlineStr">
        <is>
          <t>14125</t>
        </is>
      </c>
      <c r="K366" t="inlineStr">
        <is>
          <t>0.0</t>
        </is>
      </c>
      <c r="L366" t="inlineStr">
        <is>
          <t>141250</t>
        </is>
      </c>
      <c r="M366" t="inlineStr">
        <is>
          <t>166 675</t>
        </is>
      </c>
    </row>
    <row r="367">
      <c r="A367" t="inlineStr">
        <is>
          <t>T05-250902-102028</t>
        </is>
      </c>
      <c r="B367" t="inlineStr">
        <is>
          <t>2025-09-02</t>
        </is>
      </c>
      <c r="C367" t="inlineStr">
        <is>
          <t>18:44</t>
        </is>
      </c>
      <c r="D367" t="inlineStr">
        <is>
          <t>Magasin 5 — Kaya Marché</t>
        </is>
      </c>
      <c r="E367" t="inlineStr">
        <is>
          <t>Moussa Ilboudo</t>
        </is>
      </c>
      <c r="F367" t="inlineStr">
        <is>
          <t>5090</t>
        </is>
      </c>
      <c r="G367" t="inlineStr">
        <is>
          <t>Perforateur 800 W — réf 2</t>
        </is>
      </c>
      <c r="H367" t="inlineStr">
        <is>
          <t>Quincaillerie</t>
        </is>
      </c>
      <c r="I367" t="inlineStr">
        <is>
          <t>5</t>
        </is>
      </c>
      <c r="J367" t="inlineStr">
        <is>
          <t>5725</t>
        </is>
      </c>
      <c r="K367" t="inlineStr">
        <is>
          <t>0.04</t>
        </is>
      </c>
      <c r="L367" t="inlineStr">
        <is>
          <t>27480</t>
        </is>
      </c>
      <c r="M367" t="inlineStr">
        <is>
          <t>32 426</t>
        </is>
      </c>
    </row>
    <row r="368">
      <c r="A368" t="inlineStr">
        <is>
          <t>T05-250902-102028</t>
        </is>
      </c>
      <c r="B368" t="inlineStr">
        <is>
          <t>2025-09-02</t>
        </is>
      </c>
      <c r="C368" t="inlineStr">
        <is>
          <t>14:02</t>
        </is>
      </c>
      <c r="D368" t="inlineStr">
        <is>
          <t>Magasin 5 — Kaya Marché</t>
        </is>
      </c>
      <c r="E368" t="inlineStr">
        <is>
          <t>Salamatu Sankara</t>
        </is>
      </c>
      <c r="F368" t="inlineStr">
        <is>
          <t>14457</t>
        </is>
      </c>
      <c r="G368" t="inlineStr">
        <is>
          <t>Ciment CPJ35 50 kg — réf 1</t>
        </is>
      </c>
      <c r="H368" t="inlineStr">
        <is>
          <t>Matériaux</t>
        </is>
      </c>
      <c r="I368" t="inlineStr">
        <is>
          <t>3</t>
        </is>
      </c>
      <c r="J368" t="inlineStr">
        <is>
          <t>6325</t>
        </is>
      </c>
      <c r="K368" t="inlineStr">
        <is>
          <t>0.04</t>
        </is>
      </c>
      <c r="L368" t="inlineStr">
        <is>
          <t>18216</t>
        </is>
      </c>
      <c r="M368" t="inlineStr">
        <is>
          <t>21 495</t>
        </is>
      </c>
    </row>
    <row r="369">
      <c r="A369" t="inlineStr">
        <is>
          <t>T05-251001-105441</t>
        </is>
      </c>
      <c r="B369" t="inlineStr">
        <is>
          <t>2025-10-01</t>
        </is>
      </c>
      <c r="C369" t="inlineStr">
        <is>
          <t>07:38</t>
        </is>
      </c>
      <c r="D369" t="inlineStr">
        <is>
          <t>Magasin 5 — Kaya Marché</t>
        </is>
      </c>
      <c r="E369" t="inlineStr">
        <is>
          <t>Salamatu Sankara</t>
        </is>
      </c>
      <c r="F369" t="inlineStr">
        <is>
          <t>4030</t>
        </is>
      </c>
      <c r="G369" t="inlineStr">
        <is>
          <t>Carreau de pavement 40x40 — réf 1</t>
        </is>
      </c>
      <c r="H369" t="inlineStr">
        <is>
          <t>Matériaux</t>
        </is>
      </c>
      <c r="I369" t="inlineStr">
        <is>
          <t>12</t>
        </is>
      </c>
      <c r="J369" t="inlineStr">
        <is>
          <t>1050</t>
        </is>
      </c>
      <c r="K369" t="inlineStr">
        <is>
          <t>0.0</t>
        </is>
      </c>
      <c r="L369" t="inlineStr">
        <is>
          <t>12600</t>
        </is>
      </c>
      <c r="M369" t="inlineStr">
        <is>
          <t>14 868</t>
        </is>
      </c>
    </row>
    <row r="370">
      <c r="A370" t="inlineStr">
        <is>
          <t>T05-251001-105442</t>
        </is>
      </c>
      <c r="B370" t="inlineStr">
        <is>
          <t>2025-10-01</t>
        </is>
      </c>
      <c r="C370" t="inlineStr">
        <is>
          <t>10:16</t>
        </is>
      </c>
      <c r="D370" t="inlineStr">
        <is>
          <t>Magasin 5 — Kaya Marché</t>
        </is>
      </c>
      <c r="E370" t="inlineStr">
        <is>
          <t>Moussa Ilboudo</t>
        </is>
      </c>
      <c r="F370" t="inlineStr">
        <is>
          <t>4524</t>
        </is>
      </c>
      <c r="G370" t="inlineStr">
        <is>
          <t>Douille E27 avec cordon — réf 1</t>
        </is>
      </c>
      <c r="H370" t="inlineStr">
        <is>
          <t>Electricité</t>
        </is>
      </c>
      <c r="I370" t="inlineStr">
        <is>
          <t>3</t>
        </is>
      </c>
      <c r="J370" t="inlineStr">
        <is>
          <t>12075</t>
        </is>
      </c>
      <c r="K370" t="inlineStr">
        <is>
          <t>0.0</t>
        </is>
      </c>
      <c r="L370" t="inlineStr">
        <is>
          <t>36225</t>
        </is>
      </c>
      <c r="M370" t="inlineStr">
        <is>
          <t>42 745</t>
        </is>
      </c>
    </row>
    <row r="371">
      <c r="A371" t="inlineStr">
        <is>
          <t>T05-251001-105443</t>
        </is>
      </c>
      <c r="B371" t="inlineStr">
        <is>
          <t>01/10/2025</t>
        </is>
      </c>
      <c r="C371" t="inlineStr">
        <is>
          <t>09:59</t>
        </is>
      </c>
      <c r="D371" t="inlineStr">
        <is>
          <t>Magasin 5 — Kaya Marché</t>
        </is>
      </c>
      <c r="E371" t="inlineStr">
        <is>
          <t>Moussa Ilboudo</t>
        </is>
      </c>
      <c r="F371" t="inlineStr">
        <is>
          <t>0</t>
        </is>
      </c>
      <c r="G371" t="inlineStr">
        <is>
          <t>Tout-venant (m3) — réf 1</t>
        </is>
      </c>
      <c r="H371" t="inlineStr">
        <is>
          <t>Matériaux</t>
        </is>
      </c>
      <c r="I371" t="inlineStr">
        <is>
          <t>2</t>
        </is>
      </c>
      <c r="J371" t="inlineStr">
        <is>
          <t>16075</t>
        </is>
      </c>
      <c r="K371" t="inlineStr">
        <is>
          <t>0.0</t>
        </is>
      </c>
      <c r="L371" t="inlineStr">
        <is>
          <t>32150</t>
        </is>
      </c>
      <c r="M371" t="inlineStr">
        <is>
          <t>37 937</t>
        </is>
      </c>
    </row>
    <row r="372">
      <c r="A372" t="inlineStr">
        <is>
          <t>T05-251001-105444</t>
        </is>
      </c>
      <c r="B372" t="inlineStr">
        <is>
          <t>2025-10-01</t>
        </is>
      </c>
      <c r="C372" t="inlineStr">
        <is>
          <t>17:22</t>
        </is>
      </c>
      <c r="D372" t="inlineStr">
        <is>
          <t>Magasin 5 — Kaya Marché</t>
        </is>
      </c>
      <c r="E372" t="inlineStr">
        <is>
          <t>Salamatu Sankara</t>
        </is>
      </c>
      <c r="F372" t="inlineStr">
        <is>
          <t>7110</t>
        </is>
      </c>
      <c r="G372" t="inlineStr">
        <is>
          <t>Chaux aérienne 25 kg — réf 1</t>
        </is>
      </c>
      <c r="H372" t="inlineStr">
        <is>
          <t>Matériaux</t>
        </is>
      </c>
      <c r="I372" t="inlineStr">
        <is>
          <t>11</t>
        </is>
      </c>
      <c r="J372" t="inlineStr">
        <is>
          <t>5050</t>
        </is>
      </c>
      <c r="K372" t="inlineStr">
        <is>
          <t>0.04</t>
        </is>
      </c>
      <c r="L372" t="inlineStr">
        <is>
          <t>53328</t>
        </is>
      </c>
      <c r="M372" t="inlineStr">
        <is>
          <t>62 927</t>
        </is>
      </c>
    </row>
    <row r="373">
      <c r="A373" t="inlineStr">
        <is>
          <t>T05-251001-105445</t>
        </is>
      </c>
      <c r="B373" t="inlineStr">
        <is>
          <t>01/10/2025</t>
        </is>
      </c>
      <c r="C373" t="inlineStr">
        <is>
          <t>17:46</t>
        </is>
      </c>
      <c r="D373" t="inlineStr">
        <is>
          <t>Magasin 5 — Kaya Marché</t>
        </is>
      </c>
      <c r="E373" t="inlineStr">
        <is>
          <t>Salamatu Sankara</t>
        </is>
      </c>
      <c r="F373" t="inlineStr">
        <is>
          <t>0</t>
        </is>
      </c>
      <c r="G373" t="inlineStr">
        <is>
          <t>Vis à bois 4x40 (boîte) — réf 1</t>
        </is>
      </c>
      <c r="H373" t="inlineStr">
        <is>
          <t>Quincaillerie</t>
        </is>
      </c>
      <c r="I373" t="inlineStr">
        <is>
          <t>12</t>
        </is>
      </c>
      <c r="J373" t="inlineStr">
        <is>
          <t>1825</t>
        </is>
      </c>
      <c r="K373" t="inlineStr">
        <is>
          <t>0.0</t>
        </is>
      </c>
      <c r="L373" t="inlineStr">
        <is>
          <t>21900</t>
        </is>
      </c>
      <c r="M373" t="inlineStr">
        <is>
          <t>25 842</t>
        </is>
      </c>
    </row>
    <row r="374">
      <c r="A374" t="inlineStr">
        <is>
          <t>T05-251001-105446</t>
        </is>
      </c>
      <c r="B374" t="inlineStr">
        <is>
          <t>01/10/2025</t>
        </is>
      </c>
      <c r="C374" t="inlineStr">
        <is>
          <t>15:58</t>
        </is>
      </c>
      <c r="D374" t="inlineStr">
        <is>
          <t>Magasin 5 — Kaya Marché</t>
        </is>
      </c>
      <c r="E374" t="inlineStr">
        <is>
          <t>Moussa Ilboudo</t>
        </is>
      </c>
      <c r="F374" t="inlineStr">
        <is>
          <t>3818</t>
        </is>
      </c>
      <c r="G374" t="inlineStr">
        <is>
          <t>Pelle carrée — réf 1</t>
        </is>
      </c>
      <c r="H374" t="inlineStr">
        <is>
          <t>Consommables</t>
        </is>
      </c>
      <c r="I374" t="inlineStr">
        <is>
          <t>6</t>
        </is>
      </c>
      <c r="J374" t="inlineStr">
        <is>
          <t>9250</t>
        </is>
      </c>
      <c r="K374" t="inlineStr">
        <is>
          <t>0.0</t>
        </is>
      </c>
      <c r="L374" t="inlineStr">
        <is>
          <t>55500</t>
        </is>
      </c>
      <c r="M374" t="inlineStr">
        <is>
          <t>65 490</t>
        </is>
      </c>
    </row>
    <row r="375">
      <c r="A375" t="inlineStr">
        <is>
          <t>T05-251001-105447</t>
        </is>
      </c>
      <c r="B375" t="inlineStr">
        <is>
          <t>01/10/2025</t>
        </is>
      </c>
      <c r="C375" t="inlineStr">
        <is>
          <t>07:07</t>
        </is>
      </c>
      <c r="D375" t="inlineStr">
        <is>
          <t>Magasin 5 — Kaya Marché</t>
        </is>
      </c>
      <c r="E375" t="inlineStr">
        <is>
          <t>Salamatu Sankara</t>
        </is>
      </c>
      <c r="F375" t="inlineStr">
        <is>
          <t>1357</t>
        </is>
      </c>
      <c r="G375" t="inlineStr">
        <is>
          <t>Câble 3x2,5 (rouleau 100 m) — réf 1</t>
        </is>
      </c>
      <c r="H375" t="inlineStr">
        <is>
          <t>Electricité</t>
        </is>
      </c>
      <c r="I375" t="inlineStr">
        <is>
          <t>34</t>
        </is>
      </c>
      <c r="J375" t="inlineStr">
        <is>
          <t>10975</t>
        </is>
      </c>
      <c r="K375" t="inlineStr">
        <is>
          <t>0.0</t>
        </is>
      </c>
      <c r="L375" t="inlineStr">
        <is>
          <t>373150</t>
        </is>
      </c>
      <c r="M375" t="inlineStr">
        <is>
          <t>440 317</t>
        </is>
      </c>
    </row>
    <row r="376">
      <c r="A376" t="inlineStr">
        <is>
          <t>T05-251001-105448</t>
        </is>
      </c>
      <c r="B376" t="inlineStr">
        <is>
          <t>2025-10-01</t>
        </is>
      </c>
      <c r="C376" t="inlineStr">
        <is>
          <t>09:32</t>
        </is>
      </c>
      <c r="D376" t="inlineStr">
        <is>
          <t>Magasin 5 — Kaya Marché</t>
        </is>
      </c>
      <c r="E376" t="inlineStr">
        <is>
          <t>Adama Bationo</t>
        </is>
      </c>
      <c r="F376" t="inlineStr">
        <is>
          <t>0</t>
        </is>
      </c>
      <c r="G376" t="inlineStr">
        <is>
          <t>Tout-venant (m3) — réf 1</t>
        </is>
      </c>
      <c r="H376" t="inlineStr">
        <is>
          <t>Matériaux</t>
        </is>
      </c>
      <c r="I376" t="inlineStr">
        <is>
          <t>2</t>
        </is>
      </c>
      <c r="J376" t="inlineStr">
        <is>
          <t>15800</t>
        </is>
      </c>
      <c r="K376" t="inlineStr">
        <is>
          <t>0.0</t>
        </is>
      </c>
      <c r="L376" t="inlineStr">
        <is>
          <t>31600</t>
        </is>
      </c>
      <c r="M376" t="inlineStr">
        <is>
          <t>37 288</t>
        </is>
      </c>
    </row>
    <row r="377">
      <c r="A377" t="inlineStr">
        <is>
          <t>T05-251001-105449</t>
        </is>
      </c>
      <c r="B377" t="inlineStr">
        <is>
          <t>2025-10-01</t>
        </is>
      </c>
      <c r="C377" t="inlineStr">
        <is>
          <t>15:59</t>
        </is>
      </c>
      <c r="D377" t="inlineStr">
        <is>
          <t>Magasin 5 — Kaya Marché</t>
        </is>
      </c>
      <c r="E377" t="inlineStr">
        <is>
          <t>Adama Bationo</t>
        </is>
      </c>
      <c r="F377" t="inlineStr">
        <is>
          <t>9530</t>
        </is>
      </c>
      <c r="G377" t="inlineStr">
        <is>
          <t>Douille E27 avec cordon — réf 2</t>
        </is>
      </c>
      <c r="H377" t="inlineStr">
        <is>
          <t>Electricité</t>
        </is>
      </c>
      <c r="I377" t="inlineStr">
        <is>
          <t>4</t>
        </is>
      </c>
      <c r="J377" t="inlineStr">
        <is>
          <t>18625</t>
        </is>
      </c>
      <c r="K377" t="inlineStr">
        <is>
          <t>0.04</t>
        </is>
      </c>
      <c r="L377" t="inlineStr">
        <is>
          <t>71520</t>
        </is>
      </c>
      <c r="M377" t="inlineStr">
        <is>
          <t>84 394</t>
        </is>
      </c>
    </row>
    <row r="378">
      <c r="A378" t="inlineStr">
        <is>
          <t>T05-251001-105450</t>
        </is>
      </c>
      <c r="B378" t="inlineStr">
        <is>
          <t>2025-10-01</t>
        </is>
      </c>
      <c r="C378" t="inlineStr">
        <is>
          <t>08:05</t>
        </is>
      </c>
      <c r="D378" t="inlineStr">
        <is>
          <t>Magasin 5 — Kaya Marché</t>
        </is>
      </c>
      <c r="E378" t="inlineStr">
        <is>
          <t>Boureima Ouédraogo</t>
        </is>
      </c>
      <c r="F378" t="inlineStr">
        <is>
          <t>0</t>
        </is>
      </c>
      <c r="G378" t="inlineStr">
        <is>
          <t>Bêche à manche bois — réf 1</t>
        </is>
      </c>
      <c r="H378" t="inlineStr">
        <is>
          <t>Consommables</t>
        </is>
      </c>
      <c r="I378" t="inlineStr">
        <is>
          <t>3</t>
        </is>
      </c>
      <c r="J378" t="inlineStr">
        <is>
          <t>5175</t>
        </is>
      </c>
      <c r="K378" t="inlineStr">
        <is>
          <t>0.0</t>
        </is>
      </c>
      <c r="L378" t="inlineStr">
        <is>
          <t>15525</t>
        </is>
      </c>
      <c r="M378" t="inlineStr">
        <is>
          <t>18 319</t>
        </is>
      </c>
    </row>
    <row r="379">
      <c r="A379" t="inlineStr">
        <is>
          <t>T05-251001-105451</t>
        </is>
      </c>
      <c r="B379" t="inlineStr">
        <is>
          <t>01/10/2025</t>
        </is>
      </c>
      <c r="C379" t="inlineStr">
        <is>
          <t>08:35</t>
        </is>
      </c>
      <c r="D379" t="inlineStr">
        <is>
          <t>Magasin 5 — Kaya Marché</t>
        </is>
      </c>
      <c r="E379" t="inlineStr">
        <is>
          <t>Adama Bationo</t>
        </is>
      </c>
      <c r="F379" t="inlineStr">
        <is>
          <t>5926</t>
        </is>
      </c>
      <c r="G379" t="inlineStr">
        <is>
          <t>Niveau à bulle 600 mm — réf 1</t>
        </is>
      </c>
      <c r="H379" t="inlineStr">
        <is>
          <t>Quincaillerie</t>
        </is>
      </c>
      <c r="I379" t="inlineStr">
        <is>
          <t>6</t>
        </is>
      </c>
      <c r="J379" t="inlineStr">
        <is>
          <t>9400</t>
        </is>
      </c>
      <c r="K379" t="inlineStr">
        <is>
          <t>0.04</t>
        </is>
      </c>
      <c r="L379" t="inlineStr">
        <is>
          <t>54144</t>
        </is>
      </c>
      <c r="M379" t="inlineStr">
        <is>
          <t>63 890</t>
        </is>
      </c>
    </row>
    <row r="380">
      <c r="A380" t="inlineStr">
        <is>
          <t>T05-251001-105452</t>
        </is>
      </c>
      <c r="B380" t="inlineStr">
        <is>
          <t>2025-10-01</t>
        </is>
      </c>
      <c r="C380" t="inlineStr">
        <is>
          <t>08:20</t>
        </is>
      </c>
      <c r="D380" t="inlineStr">
        <is>
          <t>Magasin 5 — Kaya Marché</t>
        </is>
      </c>
      <c r="E380" t="inlineStr">
        <is>
          <t>Adama Bationo</t>
        </is>
      </c>
      <c r="F380" t="inlineStr">
        <is>
          <t>3800</t>
        </is>
      </c>
      <c r="G380" t="inlineStr">
        <is>
          <t>Ballon d'eau chaude 50 L — réf 1</t>
        </is>
      </c>
      <c r="H380" t="inlineStr">
        <is>
          <t>Plomberie</t>
        </is>
      </c>
      <c r="I380" t="inlineStr">
        <is>
          <t>7</t>
        </is>
      </c>
      <c r="J380" t="inlineStr">
        <is>
          <t>33225</t>
        </is>
      </c>
      <c r="K380" t="inlineStr">
        <is>
          <t>0.0</t>
        </is>
      </c>
      <c r="L380" t="inlineStr">
        <is>
          <t>232575</t>
        </is>
      </c>
      <c r="M380" t="inlineStr">
        <is>
          <t>274 439</t>
        </is>
      </c>
    </row>
    <row r="381">
      <c r="A381" t="inlineStr">
        <is>
          <t>T05-251001-105453</t>
        </is>
      </c>
      <c r="B381" t="inlineStr">
        <is>
          <t>01/10/2025</t>
        </is>
      </c>
      <c r="C381" t="inlineStr">
        <is>
          <t>13:09</t>
        </is>
      </c>
      <c r="D381" t="inlineStr">
        <is>
          <t>Magasin 5 — Kaya Marché</t>
        </is>
      </c>
      <c r="E381" t="inlineStr">
        <is>
          <t>Moussa Ilboudo</t>
        </is>
      </c>
      <c r="F381" t="inlineStr">
        <is>
          <t>20810</t>
        </is>
      </c>
      <c r="G381" t="inlineStr">
        <is>
          <t>Boulon HM 10x40 (boîte) — réf 1</t>
        </is>
      </c>
      <c r="H381" t="inlineStr">
        <is>
          <t>Quincaillerie</t>
        </is>
      </c>
      <c r="I381" t="inlineStr">
        <is>
          <t>14</t>
        </is>
      </c>
      <c r="J381" t="inlineStr">
        <is>
          <t>2000</t>
        </is>
      </c>
      <c r="K381" t="inlineStr">
        <is>
          <t>0.04</t>
        </is>
      </c>
      <c r="L381" t="inlineStr">
        <is>
          <t>26880</t>
        </is>
      </c>
      <c r="M381" t="inlineStr">
        <is>
          <t>31 718</t>
        </is>
      </c>
    </row>
    <row r="382">
      <c r="A382" t="inlineStr">
        <is>
          <t>T05-251001-105453</t>
        </is>
      </c>
      <c r="B382" t="inlineStr">
        <is>
          <t>01/10/2025</t>
        </is>
      </c>
      <c r="C382" t="inlineStr">
        <is>
          <t>13:09</t>
        </is>
      </c>
      <c r="D382" t="inlineStr">
        <is>
          <t>Magasin 5 — Kaya Marché</t>
        </is>
      </c>
      <c r="E382" t="inlineStr">
        <is>
          <t>Moussa Ilboudo</t>
        </is>
      </c>
      <c r="F382" t="inlineStr">
        <is>
          <t>20810</t>
        </is>
      </c>
      <c r="G382" t="inlineStr">
        <is>
          <t>Boulon HM 10x40 (boîte) — réf 1</t>
        </is>
      </c>
      <c r="H382" t="inlineStr">
        <is>
          <t>Quincaillerie</t>
        </is>
      </c>
      <c r="I382" t="inlineStr">
        <is>
          <t>14</t>
        </is>
      </c>
      <c r="J382" t="inlineStr">
        <is>
          <t>2000</t>
        </is>
      </c>
      <c r="K382" t="inlineStr">
        <is>
          <t>0.04</t>
        </is>
      </c>
      <c r="L382" t="inlineStr">
        <is>
          <t>26880</t>
        </is>
      </c>
      <c r="M382" t="inlineStr">
        <is>
          <t>31 718</t>
        </is>
      </c>
    </row>
    <row r="383">
      <c r="A383" t="inlineStr">
        <is>
          <t>T05-251001-105454</t>
        </is>
      </c>
      <c r="B383" t="inlineStr">
        <is>
          <t>01/10/2025</t>
        </is>
      </c>
      <c r="C383" t="inlineStr">
        <is>
          <t>15:44</t>
        </is>
      </c>
      <c r="D383" t="inlineStr">
        <is>
          <t>Magasin 5 — Kaya Marché</t>
        </is>
      </c>
      <c r="E383" t="inlineStr">
        <is>
          <t>Boureima Ouédraogo</t>
        </is>
      </c>
      <c r="F383" t="inlineStr">
        <is>
          <t>15037</t>
        </is>
      </c>
      <c r="G383" t="inlineStr">
        <is>
          <t>Robinet mitigeur évier — réf 2</t>
        </is>
      </c>
      <c r="H383" t="inlineStr">
        <is>
          <t>Plomberie</t>
        </is>
      </c>
      <c r="I383" t="inlineStr">
        <is>
          <t>5</t>
        </is>
      </c>
      <c r="J383" t="inlineStr">
        <is>
          <t>35475</t>
        </is>
      </c>
      <c r="K383" t="inlineStr">
        <is>
          <t>0.08</t>
        </is>
      </c>
      <c r="L383" t="inlineStr">
        <is>
          <t>163185</t>
        </is>
      </c>
      <c r="M383" t="inlineStr">
        <is>
          <t>192 558</t>
        </is>
      </c>
    </row>
    <row r="384">
      <c r="A384" t="inlineStr">
        <is>
          <t>T05-251001-105455</t>
        </is>
      </c>
      <c r="B384" t="inlineStr">
        <is>
          <t>2025-10-01</t>
        </is>
      </c>
      <c r="C384" t="inlineStr">
        <is>
          <t>11:41</t>
        </is>
      </c>
      <c r="D384" t="inlineStr">
        <is>
          <t>Magasin 5 — Kaya Marché</t>
        </is>
      </c>
      <c r="E384" t="inlineStr">
        <is>
          <t>Adama Bationo</t>
        </is>
      </c>
      <c r="F384" t="inlineStr">
        <is>
          <t>19427</t>
        </is>
      </c>
      <c r="G384" t="inlineStr">
        <is>
          <t>Sable de rivière (m3) — réf 2</t>
        </is>
      </c>
      <c r="H384" t="inlineStr">
        <is>
          <t>Matériaux</t>
        </is>
      </c>
      <c r="I384" t="inlineStr">
        <is>
          <t>2</t>
        </is>
      </c>
      <c r="J384" t="inlineStr">
        <is>
          <t>26250</t>
        </is>
      </c>
      <c r="K384" t="inlineStr">
        <is>
          <t>0.0</t>
        </is>
      </c>
      <c r="L384" t="inlineStr">
        <is>
          <t>52500</t>
        </is>
      </c>
      <c r="M384" t="inlineStr">
        <is>
          <t>61 950</t>
        </is>
      </c>
    </row>
    <row r="385">
      <c r="A385" t="inlineStr">
        <is>
          <t>T05-251001-105456</t>
        </is>
      </c>
      <c r="B385" t="inlineStr">
        <is>
          <t>01/10/2025</t>
        </is>
      </c>
      <c r="C385" t="inlineStr">
        <is>
          <t>10:29</t>
        </is>
      </c>
      <c r="D385" t="inlineStr">
        <is>
          <t>Magasin 5 — Kaya Marché</t>
        </is>
      </c>
      <c r="E385" t="inlineStr">
        <is>
          <t>Adama Bationo</t>
        </is>
      </c>
      <c r="F385" t="inlineStr">
        <is>
          <t>12000</t>
        </is>
      </c>
      <c r="G385" t="inlineStr">
        <is>
          <t>Colle à carrelage 25 kg — réf 2</t>
        </is>
      </c>
      <c r="H385" t="inlineStr">
        <is>
          <t>Matériaux</t>
        </is>
      </c>
      <c r="I385" t="inlineStr">
        <is>
          <t>16</t>
        </is>
      </c>
      <c r="J385" t="inlineStr">
        <is>
          <t>4325</t>
        </is>
      </c>
      <c r="K385" t="inlineStr">
        <is>
          <t>0.0</t>
        </is>
      </c>
      <c r="L385" t="inlineStr">
        <is>
          <t>69200</t>
        </is>
      </c>
      <c r="M385" t="inlineStr">
        <is>
          <t>81 656</t>
        </is>
      </c>
    </row>
    <row r="386">
      <c r="A386" t="inlineStr">
        <is>
          <t>T05-251001-105457</t>
        </is>
      </c>
      <c r="B386" t="inlineStr">
        <is>
          <t>2025-10-01</t>
        </is>
      </c>
      <c r="C386" t="inlineStr">
        <is>
          <t>14:42</t>
        </is>
      </c>
      <c r="D386" t="inlineStr">
        <is>
          <t>Magasin 5 — Kaya Marché</t>
        </is>
      </c>
      <c r="E386" t="inlineStr">
        <is>
          <t>Moussa Ilboudo</t>
        </is>
      </c>
      <c r="F386" t="inlineStr">
        <is>
          <t>6445</t>
        </is>
      </c>
      <c r="G386" t="inlineStr">
        <is>
          <t>Raccord laiton 20/27 — réf 1</t>
        </is>
      </c>
      <c r="H386" t="inlineStr">
        <is>
          <t>Plomberie</t>
        </is>
      </c>
      <c r="I386" t="inlineStr">
        <is>
          <t>1</t>
        </is>
      </c>
      <c r="J386" t="inlineStr">
        <is>
          <t>4600</t>
        </is>
      </c>
      <c r="K386" t="inlineStr">
        <is>
          <t>0.0</t>
        </is>
      </c>
      <c r="L386" t="inlineStr">
        <is>
          <t>4600</t>
        </is>
      </c>
      <c r="M386" t="inlineStr">
        <is>
          <t>5 428</t>
        </is>
      </c>
    </row>
    <row r="387">
      <c r="A387" t="inlineStr">
        <is>
          <t>T05-251001-105458</t>
        </is>
      </c>
      <c r="B387" t="inlineStr">
        <is>
          <t>01/10/2025</t>
        </is>
      </c>
      <c r="C387" t="inlineStr">
        <is>
          <t>12:52</t>
        </is>
      </c>
      <c r="D387" t="inlineStr">
        <is>
          <t>Magasin 5 — Kaya Marché</t>
        </is>
      </c>
      <c r="E387" t="inlineStr">
        <is>
          <t>Boureima Ouédraogo</t>
        </is>
      </c>
      <c r="F387" t="inlineStr">
        <is>
          <t>1508</t>
        </is>
      </c>
      <c r="G387" t="inlineStr">
        <is>
          <t>Lame de lambris 4 m — réf 1</t>
        </is>
      </c>
      <c r="H387" t="inlineStr">
        <is>
          <t>Bois &amp; panneaux</t>
        </is>
      </c>
      <c r="I387" t="inlineStr">
        <is>
          <t>4</t>
        </is>
      </c>
      <c r="J387" t="inlineStr">
        <is>
          <t>10800</t>
        </is>
      </c>
      <c r="K387" t="inlineStr">
        <is>
          <t>0.0</t>
        </is>
      </c>
      <c r="L387" t="inlineStr">
        <is>
          <t>43200</t>
        </is>
      </c>
      <c r="M387" t="inlineStr">
        <is>
          <t>50 976</t>
        </is>
      </c>
    </row>
    <row r="388">
      <c r="A388" t="inlineStr">
        <is>
          <t>T05-251001-105459</t>
        </is>
      </c>
      <c r="B388" t="inlineStr">
        <is>
          <t>2025-10-01</t>
        </is>
      </c>
      <c r="C388" t="inlineStr">
        <is>
          <t>17:19</t>
        </is>
      </c>
      <c r="D388" t="inlineStr">
        <is>
          <t>Magasin 5 — Kaya Marché</t>
        </is>
      </c>
      <c r="E388" t="inlineStr">
        <is>
          <t>Salamatu Sankara</t>
        </is>
      </c>
      <c r="F388" t="inlineStr">
        <is>
          <t>1472</t>
        </is>
      </c>
      <c r="G388" t="inlineStr">
        <is>
          <t>Tournevis cruciforme PH2 — réf 2</t>
        </is>
      </c>
      <c r="H388" t="inlineStr">
        <is>
          <t>Quincaillerie</t>
        </is>
      </c>
      <c r="I388" t="inlineStr">
        <is>
          <t>1</t>
        </is>
      </c>
      <c r="J388" t="inlineStr">
        <is>
          <t>6325</t>
        </is>
      </c>
      <c r="K388" t="inlineStr">
        <is>
          <t>0.0</t>
        </is>
      </c>
      <c r="L388" t="inlineStr">
        <is>
          <t>6325</t>
        </is>
      </c>
      <c r="M388" t="inlineStr">
        <is>
          <t>7 463</t>
        </is>
      </c>
    </row>
    <row r="389">
      <c r="A389" t="inlineStr">
        <is>
          <t>T05-251001-105460</t>
        </is>
      </c>
      <c r="B389" t="inlineStr">
        <is>
          <t>2025-10-01</t>
        </is>
      </c>
      <c r="C389" t="inlineStr">
        <is>
          <t>08:48</t>
        </is>
      </c>
      <c r="D389" t="inlineStr">
        <is>
          <t>Magasin 5 — Kaya Marché</t>
        </is>
      </c>
      <c r="E389" t="inlineStr">
        <is>
          <t>Moussa Ilboudo</t>
        </is>
      </c>
      <c r="F389" t="inlineStr">
        <is>
          <t>8718</t>
        </is>
      </c>
      <c r="G389" t="inlineStr">
        <is>
          <t>Perforateur 800 W — réf 1</t>
        </is>
      </c>
      <c r="H389" t="inlineStr">
        <is>
          <t>Quincaillerie</t>
        </is>
      </c>
      <c r="I389" t="inlineStr">
        <is>
          <t>4</t>
        </is>
      </c>
      <c r="J389" t="inlineStr">
        <is>
          <t>8125</t>
        </is>
      </c>
      <c r="K389" t="inlineStr">
        <is>
          <t>0.0</t>
        </is>
      </c>
      <c r="L389" t="inlineStr">
        <is>
          <t>32500</t>
        </is>
      </c>
      <c r="M389" t="inlineStr">
        <is>
          <t>38 350</t>
        </is>
      </c>
    </row>
    <row r="390">
      <c r="A390" t="inlineStr">
        <is>
          <t>T05-251001-105461</t>
        </is>
      </c>
      <c r="B390" t="inlineStr">
        <is>
          <t>2025-10-01</t>
        </is>
      </c>
      <c r="C390" t="inlineStr">
        <is>
          <t>17:17</t>
        </is>
      </c>
      <c r="D390" t="inlineStr">
        <is>
          <t>Magasin 5 — Kaya Marché</t>
        </is>
      </c>
      <c r="E390" t="inlineStr">
        <is>
          <t>Boureima Ouédraogo</t>
        </is>
      </c>
      <c r="F390" t="inlineStr">
        <is>
          <t>18776</t>
        </is>
      </c>
      <c r="G390" t="inlineStr">
        <is>
          <t>Tube PER 16x2 (rouleau) — réf 2</t>
        </is>
      </c>
      <c r="H390" t="inlineStr">
        <is>
          <t>Plomberie</t>
        </is>
      </c>
      <c r="I390" t="inlineStr">
        <is>
          <t>15</t>
        </is>
      </c>
      <c r="J390" t="inlineStr">
        <is>
          <t>3275</t>
        </is>
      </c>
      <c r="K390" t="inlineStr">
        <is>
          <t>0.03</t>
        </is>
      </c>
      <c r="L390" t="inlineStr">
        <is>
          <t>47651</t>
        </is>
      </c>
      <c r="M390" t="inlineStr">
        <is>
          <t>56 228</t>
        </is>
      </c>
    </row>
    <row r="391">
      <c r="A391" t="inlineStr">
        <is>
          <t>T05-251001-105462</t>
        </is>
      </c>
      <c r="B391" t="inlineStr">
        <is>
          <t>2025-10-01</t>
        </is>
      </c>
      <c r="C391" t="inlineStr">
        <is>
          <t>18:36</t>
        </is>
      </c>
      <c r="D391" t="inlineStr">
        <is>
          <t>Magasin 5 — Kaya Marché</t>
        </is>
      </c>
      <c r="E391" t="inlineStr">
        <is>
          <t>Moussa Ilboudo</t>
        </is>
      </c>
      <c r="F391" t="inlineStr">
        <is>
          <t>21196</t>
        </is>
      </c>
      <c r="G391" t="inlineStr">
        <is>
          <t>Lampe torche rechargeable — réf 2</t>
        </is>
      </c>
      <c r="H391" t="inlineStr">
        <is>
          <t>Electricité</t>
        </is>
      </c>
      <c r="I391" t="inlineStr">
        <is>
          <t>3</t>
        </is>
      </c>
      <c r="J391" t="inlineStr">
        <is>
          <t>21400</t>
        </is>
      </c>
      <c r="K391" t="inlineStr">
        <is>
          <t>0.04</t>
        </is>
      </c>
      <c r="L391" t="inlineStr">
        <is>
          <t>61632</t>
        </is>
      </c>
      <c r="M391" t="inlineStr">
        <is>
          <t>72 726</t>
        </is>
      </c>
    </row>
    <row r="392">
      <c r="A392" t="inlineStr">
        <is>
          <t>T05-251001-105463</t>
        </is>
      </c>
      <c r="B392" t="inlineStr">
        <is>
          <t>2025-10-01</t>
        </is>
      </c>
      <c r="C392" t="inlineStr">
        <is>
          <t>08:34</t>
        </is>
      </c>
      <c r="D392" t="inlineStr">
        <is>
          <t>Magasin 5 — Kaya Marché</t>
        </is>
      </c>
      <c r="E392" t="inlineStr">
        <is>
          <t>Boureima Ouédraogo</t>
        </is>
      </c>
      <c r="F392" t="inlineStr">
        <is>
          <t>23188</t>
        </is>
      </c>
      <c r="G392" t="inlineStr">
        <is>
          <t>Té fonte 100 — réf 1</t>
        </is>
      </c>
      <c r="H392" t="inlineStr">
        <is>
          <t>Plomberie</t>
        </is>
      </c>
      <c r="I392" t="inlineStr">
        <is>
          <t>11</t>
        </is>
      </c>
      <c r="J392" t="inlineStr">
        <is>
          <t>3225</t>
        </is>
      </c>
      <c r="K392" t="inlineStr">
        <is>
          <t>0.04</t>
        </is>
      </c>
      <c r="L392" t="inlineStr">
        <is>
          <t>34056</t>
        </is>
      </c>
      <c r="M392" t="inlineStr">
        <is>
          <t>40 186</t>
        </is>
      </c>
    </row>
    <row r="393">
      <c r="A393" t="inlineStr">
        <is>
          <t>T05-251001-105464</t>
        </is>
      </c>
      <c r="B393" t="inlineStr">
        <is>
          <t>2025-10-01</t>
        </is>
      </c>
      <c r="C393" t="inlineStr">
        <is>
          <t>13:51</t>
        </is>
      </c>
      <c r="D393" t="inlineStr">
        <is>
          <t>Magasin 5 — Kaya Marché</t>
        </is>
      </c>
      <c r="E393" t="inlineStr">
        <is>
          <t>Salamatu Sankara</t>
        </is>
      </c>
      <c r="F393" t="inlineStr">
        <is>
          <t>21739</t>
        </is>
      </c>
      <c r="G393" t="inlineStr">
        <is>
          <t>Pince coupante 200 mm — réf 2</t>
        </is>
      </c>
      <c r="H393" t="inlineStr">
        <is>
          <t>Quincaillerie</t>
        </is>
      </c>
      <c r="I393" t="inlineStr">
        <is>
          <t>4</t>
        </is>
      </c>
      <c r="J393" t="inlineStr">
        <is>
          <t>10425</t>
        </is>
      </c>
      <c r="K393" t="inlineStr">
        <is>
          <t>0.04</t>
        </is>
      </c>
      <c r="L393" t="inlineStr">
        <is>
          <t>40032</t>
        </is>
      </c>
      <c r="M393" t="inlineStr">
        <is>
          <t>47 238</t>
        </is>
      </c>
    </row>
    <row r="394">
      <c r="A394" t="inlineStr">
        <is>
          <t>T05-251002-105561</t>
        </is>
      </c>
      <c r="B394" t="inlineStr">
        <is>
          <t>2025-10-02</t>
        </is>
      </c>
      <c r="C394" t="inlineStr">
        <is>
          <t>10:16</t>
        </is>
      </c>
      <c r="D394" t="inlineStr">
        <is>
          <t>Magasin 5 — Kaya Marché</t>
        </is>
      </c>
      <c r="E394" t="inlineStr">
        <is>
          <t>Salamatu Sankara</t>
        </is>
      </c>
      <c r="F394" t="inlineStr">
        <is>
          <t>1796</t>
        </is>
      </c>
      <c r="G394" t="inlineStr">
        <is>
          <t>Fil de fer recuit (kg) — réf 1</t>
        </is>
      </c>
      <c r="H394" t="inlineStr">
        <is>
          <t>Quincaillerie</t>
        </is>
      </c>
      <c r="I394" t="inlineStr">
        <is>
          <t>10</t>
        </is>
      </c>
      <c r="J394" t="inlineStr">
        <is>
          <t>1625</t>
        </is>
      </c>
      <c r="K394" t="inlineStr">
        <is>
          <t>0.04</t>
        </is>
      </c>
      <c r="L394" t="inlineStr">
        <is>
          <t>15600</t>
        </is>
      </c>
      <c r="M394" t="inlineStr">
        <is>
          <t>18 408</t>
        </is>
      </c>
    </row>
    <row r="395">
      <c r="A395" t="inlineStr">
        <is>
          <t>T05-251002-105561</t>
        </is>
      </c>
      <c r="B395" t="inlineStr">
        <is>
          <t>2025-10-02</t>
        </is>
      </c>
      <c r="C395" t="inlineStr">
        <is>
          <t>18:31</t>
        </is>
      </c>
      <c r="D395" t="inlineStr">
        <is>
          <t>Magasin 5 — Kaya Marché</t>
        </is>
      </c>
      <c r="E395" t="inlineStr">
        <is>
          <t>Moussa Ilboudo</t>
        </is>
      </c>
      <c r="F395" t="inlineStr">
        <is>
          <t>0</t>
        </is>
      </c>
      <c r="G395" t="inlineStr">
        <is>
          <t>Colle à carrelage 25 kg — réf 2</t>
        </is>
      </c>
      <c r="H395" t="inlineStr">
        <is>
          <t>Matériaux</t>
        </is>
      </c>
      <c r="I395" t="inlineStr">
        <is>
          <t>7</t>
        </is>
      </c>
      <c r="J395" t="inlineStr">
        <is>
          <t>4350</t>
        </is>
      </c>
      <c r="K395" t="inlineStr">
        <is>
          <t>0.0</t>
        </is>
      </c>
      <c r="L395" t="inlineStr">
        <is>
          <t>30450</t>
        </is>
      </c>
      <c r="M395" t="inlineStr">
        <is>
          <t>35 931</t>
        </is>
      </c>
    </row>
    <row r="396">
      <c r="A396" t="inlineStr">
        <is>
          <t>T05-251002-105561</t>
        </is>
      </c>
      <c r="B396" t="inlineStr">
        <is>
          <t>2025-10-02</t>
        </is>
      </c>
      <c r="C396" t="inlineStr">
        <is>
          <t>14:06</t>
        </is>
      </c>
      <c r="D396" t="inlineStr">
        <is>
          <t>Magasin 5 — Kaya Marché</t>
        </is>
      </c>
      <c r="E396" t="inlineStr">
        <is>
          <t>Boureima Ouédraogo</t>
        </is>
      </c>
      <c r="F396" t="inlineStr">
        <is>
          <t>22897</t>
        </is>
      </c>
      <c r="G396" t="inlineStr">
        <is>
          <t>Batterie à décharge lente 120 Ah — réf 2</t>
        </is>
      </c>
      <c r="H396" t="inlineStr">
        <is>
          <t>Electricité</t>
        </is>
      </c>
      <c r="I396" t="inlineStr">
        <is>
          <t>6</t>
        </is>
      </c>
      <c r="J396" t="inlineStr">
        <is>
          <t>18950</t>
        </is>
      </c>
      <c r="K396" t="inlineStr">
        <is>
          <t>0.0</t>
        </is>
      </c>
      <c r="L396" t="inlineStr">
        <is>
          <t>113700</t>
        </is>
      </c>
      <c r="M396" t="inlineStr">
        <is>
          <t>134 166</t>
        </is>
      </c>
    </row>
    <row r="397">
      <c r="A397" t="inlineStr">
        <is>
          <t>T05-251002-105562</t>
        </is>
      </c>
      <c r="B397" t="inlineStr">
        <is>
          <t>2025-10-02</t>
        </is>
      </c>
      <c r="C397" t="inlineStr">
        <is>
          <t>09:18</t>
        </is>
      </c>
      <c r="D397" t="inlineStr">
        <is>
          <t>Magasin 5 — Kaya Marché</t>
        </is>
      </c>
      <c r="E397" t="inlineStr">
        <is>
          <t>Boureima Ouédraogo</t>
        </is>
      </c>
      <c r="F397" t="inlineStr">
        <is>
          <t>3075</t>
        </is>
      </c>
      <c r="G397" t="inlineStr">
        <is>
          <t>Câble 3x2,5 (rouleau 100 m) — réf 1</t>
        </is>
      </c>
      <c r="H397" t="inlineStr">
        <is>
          <t>Electricité</t>
        </is>
      </c>
      <c r="I397" t="inlineStr">
        <is>
          <t>1</t>
        </is>
      </c>
      <c r="J397" t="inlineStr">
        <is>
          <t>11000</t>
        </is>
      </c>
      <c r="K397" t="inlineStr">
        <is>
          <t>0.0</t>
        </is>
      </c>
      <c r="L397" t="inlineStr">
        <is>
          <t>11000</t>
        </is>
      </c>
      <c r="M397" t="inlineStr">
        <is>
          <t>12 980</t>
        </is>
      </c>
    </row>
    <row r="398">
      <c r="A398" t="inlineStr">
        <is>
          <t>T05-251002-105562</t>
        </is>
      </c>
      <c r="B398" t="inlineStr">
        <is>
          <t>2025-10-02</t>
        </is>
      </c>
      <c r="C398" t="inlineStr">
        <is>
          <t>18:27</t>
        </is>
      </c>
      <c r="D398" t="inlineStr">
        <is>
          <t>Magasin 5 — Kaya Marché</t>
        </is>
      </c>
      <c r="E398" t="inlineStr">
        <is>
          <t>Moussa Ilboudo</t>
        </is>
      </c>
      <c r="F398" t="inlineStr">
        <is>
          <t>12037</t>
        </is>
      </c>
      <c r="G398" t="inlineStr">
        <is>
          <t>Antirouille rouge brique 1 L — réf 1</t>
        </is>
      </c>
      <c r="H398" t="inlineStr">
        <is>
          <t>Peinture</t>
        </is>
      </c>
      <c r="I398" t="inlineStr">
        <is>
          <t>18</t>
        </is>
      </c>
      <c r="J398" t="inlineStr">
        <is>
          <t>5025</t>
        </is>
      </c>
      <c r="K398" t="inlineStr">
        <is>
          <t>0.03</t>
        </is>
      </c>
      <c r="L398" t="inlineStr">
        <is>
          <t>87736</t>
        </is>
      </c>
      <c r="M398" t="inlineStr">
        <is>
          <t>103 528</t>
        </is>
      </c>
    </row>
    <row r="399">
      <c r="A399" t="inlineStr">
        <is>
          <t>T05-251002-105562</t>
        </is>
      </c>
      <c r="B399" t="inlineStr">
        <is>
          <t>2025-10-02</t>
        </is>
      </c>
      <c r="C399" t="inlineStr">
        <is>
          <t>14:54</t>
        </is>
      </c>
      <c r="D399" t="inlineStr">
        <is>
          <t>Magasin 5 — Kaya Marché</t>
        </is>
      </c>
      <c r="E399" t="inlineStr">
        <is>
          <t>Moussa Ilboudo</t>
        </is>
      </c>
      <c r="F399" t="inlineStr">
        <is>
          <t>0</t>
        </is>
      </c>
      <c r="G399" t="inlineStr">
        <is>
          <t>Peinture acrylique blanc 10 L — réf 2</t>
        </is>
      </c>
      <c r="H399" t="inlineStr">
        <is>
          <t>Peinture</t>
        </is>
      </c>
      <c r="I399" t="inlineStr">
        <is>
          <t>8</t>
        </is>
      </c>
      <c r="J399" t="inlineStr">
        <is>
          <t>6825</t>
        </is>
      </c>
      <c r="K399" t="inlineStr">
        <is>
          <t>0.0</t>
        </is>
      </c>
      <c r="L399" t="inlineStr">
        <is>
          <t>54600</t>
        </is>
      </c>
      <c r="M399" t="inlineStr">
        <is>
          <t>64 428</t>
        </is>
      </c>
    </row>
    <row r="400">
      <c r="A400" t="inlineStr">
        <is>
          <t>T05-251002-105563</t>
        </is>
      </c>
      <c r="B400" t="inlineStr">
        <is>
          <t>2025-10-02</t>
        </is>
      </c>
      <c r="C400" t="inlineStr">
        <is>
          <t>12:47</t>
        </is>
      </c>
      <c r="D400" t="inlineStr">
        <is>
          <t>Magasin 5 — Kaya Marché</t>
        </is>
      </c>
      <c r="E400" t="inlineStr">
        <is>
          <t>Boureima Ouédraogo</t>
        </is>
      </c>
      <c r="F400" t="inlineStr">
        <is>
          <t>22509</t>
        </is>
      </c>
      <c r="G400" t="inlineStr">
        <is>
          <t>Lampe torche rechargeable — réf 1</t>
        </is>
      </c>
      <c r="H400" t="inlineStr">
        <is>
          <t>Electricité</t>
        </is>
      </c>
      <c r="I400" t="inlineStr">
        <is>
          <t>2</t>
        </is>
      </c>
      <c r="J400" t="inlineStr">
        <is>
          <t>20550</t>
        </is>
      </c>
      <c r="K400" t="inlineStr">
        <is>
          <t>0.04</t>
        </is>
      </c>
      <c r="L400" t="inlineStr">
        <is>
          <t>39456</t>
        </is>
      </c>
      <c r="M400" t="inlineStr">
        <is>
          <t>46 558</t>
        </is>
      </c>
    </row>
    <row r="401">
      <c r="A401" t="inlineStr">
        <is>
          <t>T05-251002-105563</t>
        </is>
      </c>
      <c r="B401" t="inlineStr">
        <is>
          <t>02/10/2025</t>
        </is>
      </c>
      <c r="C401" t="inlineStr">
        <is>
          <t>09:57</t>
        </is>
      </c>
      <c r="D401" t="inlineStr">
        <is>
          <t>Magasin 5 — Kaya Marché</t>
        </is>
      </c>
      <c r="E401" t="inlineStr">
        <is>
          <t>Moussa Ilboudo</t>
        </is>
      </c>
      <c r="F401" t="inlineStr">
        <is>
          <t>1854</t>
        </is>
      </c>
      <c r="G401" t="inlineStr">
        <is>
          <t>Pince coupante 200 mm — réf 1</t>
        </is>
      </c>
      <c r="H401" t="inlineStr">
        <is>
          <t>Quincaillerie</t>
        </is>
      </c>
      <c r="I401" t="inlineStr">
        <is>
          <t>2</t>
        </is>
      </c>
      <c r="J401" t="inlineStr">
        <is>
          <t>5425</t>
        </is>
      </c>
      <c r="K401" t="inlineStr">
        <is>
          <t>0.0</t>
        </is>
      </c>
      <c r="L401" t="inlineStr">
        <is>
          <t>10850</t>
        </is>
      </c>
      <c r="M401" t="inlineStr">
        <is>
          <t>12 803</t>
        </is>
      </c>
    </row>
    <row r="402">
      <c r="A402" t="inlineStr">
        <is>
          <t>T05-251002-105563</t>
        </is>
      </c>
      <c r="B402" t="inlineStr">
        <is>
          <t>2025-10-02</t>
        </is>
      </c>
      <c r="C402" t="inlineStr">
        <is>
          <t>11:00</t>
        </is>
      </c>
      <c r="D402" t="inlineStr">
        <is>
          <t>Magasin 5 — Kaya Marché</t>
        </is>
      </c>
      <c r="E402" t="inlineStr">
        <is>
          <t>Adama Bationo</t>
        </is>
      </c>
      <c r="F402" t="inlineStr">
        <is>
          <t>22901</t>
        </is>
      </c>
      <c r="G402" t="inlineStr">
        <is>
          <t>Robinet mitigeur évier — réf 1</t>
        </is>
      </c>
      <c r="H402" t="inlineStr">
        <is>
          <t>Plomberie</t>
        </is>
      </c>
      <c r="I402" t="inlineStr">
        <is>
          <t>9</t>
        </is>
      </c>
      <c r="J402" t="inlineStr">
        <is>
          <t>32600</t>
        </is>
      </c>
      <c r="K402" t="inlineStr">
        <is>
          <t>0.04</t>
        </is>
      </c>
      <c r="L402" t="inlineStr">
        <is>
          <t>281664</t>
        </is>
      </c>
      <c r="M402" t="inlineStr">
        <is>
          <t>332 364</t>
        </is>
      </c>
    </row>
    <row r="403">
      <c r="A403" t="inlineStr">
        <is>
          <t>T05-251002-105564</t>
        </is>
      </c>
      <c r="B403" t="inlineStr">
        <is>
          <t>2025-10-02</t>
        </is>
      </c>
      <c r="C403" t="inlineStr">
        <is>
          <t>13:43</t>
        </is>
      </c>
      <c r="D403" t="inlineStr">
        <is>
          <t>Magasin 5 — Kaya Marché</t>
        </is>
      </c>
      <c r="E403" t="inlineStr">
        <is>
          <t>Salamatu Sankara</t>
        </is>
      </c>
      <c r="F403" t="inlineStr">
        <is>
          <t>16303</t>
        </is>
      </c>
      <c r="G403" t="inlineStr">
        <is>
          <t>Pavé autobloquant — réf 2</t>
        </is>
      </c>
      <c r="H403" t="inlineStr">
        <is>
          <t>Matériaux</t>
        </is>
      </c>
      <c r="I403" t="inlineStr">
        <is>
          <t>7</t>
        </is>
      </c>
      <c r="J403" t="inlineStr">
        <is>
          <t>700</t>
        </is>
      </c>
      <c r="K403" t="inlineStr">
        <is>
          <t>0.0</t>
        </is>
      </c>
      <c r="L403" t="inlineStr">
        <is>
          <t>4900</t>
        </is>
      </c>
      <c r="M403" t="inlineStr">
        <is>
          <t>5 782</t>
        </is>
      </c>
    </row>
    <row r="404">
      <c r="A404" t="inlineStr">
        <is>
          <t>T05-251002-105564</t>
        </is>
      </c>
      <c r="B404" t="inlineStr">
        <is>
          <t>2025-10-02</t>
        </is>
      </c>
      <c r="C404" t="inlineStr">
        <is>
          <t>17:04</t>
        </is>
      </c>
      <c r="D404" t="inlineStr">
        <is>
          <t>Magasin 5 — Kaya Marché</t>
        </is>
      </c>
      <c r="E404" t="inlineStr">
        <is>
          <t>Moussa Ilboudo</t>
        </is>
      </c>
      <c r="F404" t="inlineStr">
        <is>
          <t>14290</t>
        </is>
      </c>
      <c r="G404" t="inlineStr">
        <is>
          <t>Pelle carrée — réf 1</t>
        </is>
      </c>
      <c r="H404" t="inlineStr">
        <is>
          <t>Consommables</t>
        </is>
      </c>
      <c r="I404" t="inlineStr">
        <is>
          <t>1</t>
        </is>
      </c>
      <c r="J404" t="inlineStr">
        <is>
          <t>9450</t>
        </is>
      </c>
      <c r="K404" t="inlineStr">
        <is>
          <t>0.04</t>
        </is>
      </c>
      <c r="L404" t="inlineStr">
        <is>
          <t>9072</t>
        </is>
      </c>
      <c r="M404" t="inlineStr">
        <is>
          <t>10 705</t>
        </is>
      </c>
    </row>
    <row r="405">
      <c r="A405" t="inlineStr">
        <is>
          <t>T05-251002-105564</t>
        </is>
      </c>
      <c r="B405" t="inlineStr">
        <is>
          <t>2025-10-02</t>
        </is>
      </c>
      <c r="C405" t="inlineStr">
        <is>
          <t>09:22</t>
        </is>
      </c>
      <c r="D405" t="inlineStr">
        <is>
          <t>Magasin 5 — Kaya Marché</t>
        </is>
      </c>
      <c r="E405" t="inlineStr">
        <is>
          <t>Boureima Ouédraogo</t>
        </is>
      </c>
      <c r="F405" t="inlineStr">
        <is>
          <t>12577</t>
        </is>
      </c>
      <c r="G405" t="inlineStr">
        <is>
          <t>Tout-venant (m3) — réf 1</t>
        </is>
      </c>
      <c r="H405" t="inlineStr">
        <is>
          <t>Matériaux</t>
        </is>
      </c>
      <c r="I405" t="inlineStr">
        <is>
          <t>2</t>
        </is>
      </c>
      <c r="J405" t="inlineStr">
        <is>
          <t>15750</t>
        </is>
      </c>
      <c r="K405" t="inlineStr">
        <is>
          <t>0.0</t>
        </is>
      </c>
      <c r="L405" t="inlineStr">
        <is>
          <t>31500</t>
        </is>
      </c>
      <c r="M405" t="inlineStr">
        <is>
          <t>37 170</t>
        </is>
      </c>
    </row>
    <row r="406">
      <c r="A406" t="inlineStr">
        <is>
          <t>T05-251002-105565</t>
        </is>
      </c>
      <c r="B406" t="inlineStr">
        <is>
          <t>2025-10-02</t>
        </is>
      </c>
      <c r="C406" t="inlineStr">
        <is>
          <t>14:42</t>
        </is>
      </c>
      <c r="D406" t="inlineStr">
        <is>
          <t>Magasin 5 — Kaya Marché</t>
        </is>
      </c>
      <c r="E406" t="inlineStr">
        <is>
          <t>Adama Bationo</t>
        </is>
      </c>
      <c r="F406" t="inlineStr">
        <is>
          <t>8926</t>
        </is>
      </c>
      <c r="G406" t="inlineStr">
        <is>
          <t>Cheville nylon 8 mm (sachet) — réf 2</t>
        </is>
      </c>
      <c r="H406" t="inlineStr">
        <is>
          <t>Quincaillerie</t>
        </is>
      </c>
      <c r="I406" t="inlineStr">
        <is>
          <t>6</t>
        </is>
      </c>
      <c r="J406" t="inlineStr">
        <is>
          <t>2125</t>
        </is>
      </c>
      <c r="K406" t="inlineStr">
        <is>
          <t>0.04</t>
        </is>
      </c>
      <c r="L406" t="inlineStr">
        <is>
          <t>12240</t>
        </is>
      </c>
      <c r="M406" t="inlineStr">
        <is>
          <t>14 443</t>
        </is>
      </c>
    </row>
    <row r="407">
      <c r="A407" t="inlineStr">
        <is>
          <t>T05-251002-105565</t>
        </is>
      </c>
      <c r="B407" t="inlineStr">
        <is>
          <t>2025-10-02</t>
        </is>
      </c>
      <c r="C407" t="inlineStr">
        <is>
          <t>08:31</t>
        </is>
      </c>
      <c r="D407" t="inlineStr">
        <is>
          <t>Magasin 5 — Kaya Marché</t>
        </is>
      </c>
      <c r="E407" t="inlineStr">
        <is>
          <t>Salamatu Sankara</t>
        </is>
      </c>
      <c r="F407" t="inlineStr">
        <is>
          <t>0</t>
        </is>
      </c>
      <c r="G407" t="inlineStr">
        <is>
          <t>Vis à bois 4x40 (boîte) — réf 2</t>
        </is>
      </c>
      <c r="H407" t="inlineStr">
        <is>
          <t>Quincaillerie</t>
        </is>
      </c>
      <c r="I407" t="inlineStr">
        <is>
          <t>2</t>
        </is>
      </c>
      <c r="J407" t="inlineStr">
        <is>
          <t>1650</t>
        </is>
      </c>
      <c r="K407" t="inlineStr">
        <is>
          <t>0.0</t>
        </is>
      </c>
      <c r="L407" t="inlineStr">
        <is>
          <t>3300</t>
        </is>
      </c>
      <c r="M407" t="inlineStr">
        <is>
          <t>3 894</t>
        </is>
      </c>
    </row>
    <row r="408">
      <c r="A408" t="inlineStr">
        <is>
          <t>T05-251002-105565</t>
        </is>
      </c>
      <c r="B408" t="inlineStr">
        <is>
          <t>2025-10-02</t>
        </is>
      </c>
      <c r="C408" t="inlineStr">
        <is>
          <t>10:47</t>
        </is>
      </c>
      <c r="D408" t="inlineStr">
        <is>
          <t>Magasin 5 — Kaya Marché</t>
        </is>
      </c>
      <c r="E408" t="inlineStr">
        <is>
          <t>Moussa Ilboudo</t>
        </is>
      </c>
      <c r="F408" t="inlineStr">
        <is>
          <t>19885</t>
        </is>
      </c>
      <c r="G408" t="inlineStr">
        <is>
          <t>Tout-venant (m3) — réf 1</t>
        </is>
      </c>
      <c r="H408" t="inlineStr">
        <is>
          <t>Matériaux</t>
        </is>
      </c>
      <c r="I408" t="inlineStr">
        <is>
          <t>3</t>
        </is>
      </c>
      <c r="J408" t="inlineStr">
        <is>
          <t>16400</t>
        </is>
      </c>
      <c r="K408" t="inlineStr">
        <is>
          <t>0.04</t>
        </is>
      </c>
      <c r="L408" t="inlineStr">
        <is>
          <t>47232</t>
        </is>
      </c>
      <c r="M408" t="inlineStr">
        <is>
          <t>55 734</t>
        </is>
      </c>
    </row>
    <row r="409">
      <c r="A409" t="inlineStr">
        <is>
          <t>T05-251002-105566</t>
        </is>
      </c>
      <c r="B409" t="inlineStr">
        <is>
          <t>2025-10-02</t>
        </is>
      </c>
      <c r="C409" t="inlineStr">
        <is>
          <t>08:55</t>
        </is>
      </c>
      <c r="D409" t="inlineStr">
        <is>
          <t>Magasin 5 — Kaya Marché</t>
        </is>
      </c>
      <c r="E409" t="inlineStr">
        <is>
          <t>Adama Bationo</t>
        </is>
      </c>
      <c r="F409" t="inlineStr">
        <is>
          <t>0</t>
        </is>
      </c>
      <c r="G409" t="inlineStr">
        <is>
          <t>Niveau à bulle 600 mm — réf 1</t>
        </is>
      </c>
      <c r="H409" t="inlineStr">
        <is>
          <t>Quincaillerie</t>
        </is>
      </c>
      <c r="I409" t="inlineStr">
        <is>
          <t>6</t>
        </is>
      </c>
      <c r="J409" t="inlineStr">
        <is>
          <t>9075</t>
        </is>
      </c>
      <c r="K409" t="inlineStr">
        <is>
          <t>0.0</t>
        </is>
      </c>
      <c r="L409" t="inlineStr">
        <is>
          <t>54450</t>
        </is>
      </c>
      <c r="M409" t="inlineStr">
        <is>
          <t>64 251</t>
        </is>
      </c>
    </row>
    <row r="410">
      <c r="A410" t="inlineStr">
        <is>
          <t>T05-251101-109861</t>
        </is>
      </c>
      <c r="B410" t="inlineStr">
        <is>
          <t>01/11/2025</t>
        </is>
      </c>
      <c r="C410" t="inlineStr">
        <is>
          <t>13:03</t>
        </is>
      </c>
      <c r="D410" t="inlineStr">
        <is>
          <t>Magasin 5 — Kaya Marché</t>
        </is>
      </c>
      <c r="E410" t="inlineStr">
        <is>
          <t>Salamatu Sankara</t>
        </is>
      </c>
      <c r="F410" t="inlineStr">
        <is>
          <t>12973</t>
        </is>
      </c>
      <c r="G410" t="inlineStr">
        <is>
          <t>Pince coupante 200 mm — réf 2</t>
        </is>
      </c>
      <c r="H410" t="inlineStr">
        <is>
          <t>Quincaillerie</t>
        </is>
      </c>
      <c r="I410" t="inlineStr">
        <is>
          <t>23</t>
        </is>
      </c>
      <c r="J410" t="inlineStr">
        <is>
          <t>10175</t>
        </is>
      </c>
      <c r="K410" t="inlineStr">
        <is>
          <t>0.04</t>
        </is>
      </c>
      <c r="L410" t="inlineStr">
        <is>
          <t>224664</t>
        </is>
      </c>
      <c r="M410" t="inlineStr">
        <is>
          <t>265 104</t>
        </is>
      </c>
    </row>
    <row r="411">
      <c r="A411" t="inlineStr">
        <is>
          <t>T05-251101-109861</t>
        </is>
      </c>
      <c r="B411" t="inlineStr">
        <is>
          <t>2025-11-01</t>
        </is>
      </c>
      <c r="C411" t="inlineStr">
        <is>
          <t>17:15</t>
        </is>
      </c>
      <c r="D411" t="inlineStr">
        <is>
          <t>Magasin 5 — Kaya Marché</t>
        </is>
      </c>
      <c r="E411" t="inlineStr">
        <is>
          <t>Moussa Ilboudo</t>
        </is>
      </c>
      <c r="F411" t="inlineStr">
        <is>
          <t>0</t>
        </is>
      </c>
      <c r="G411" t="inlineStr">
        <is>
          <t>Peinture acrylique blanc 10 L — réf 1</t>
        </is>
      </c>
      <c r="H411" t="inlineStr">
        <is>
          <t>Peinture</t>
        </is>
      </c>
      <c r="I411" t="inlineStr">
        <is>
          <t>7</t>
        </is>
      </c>
      <c r="J411" t="inlineStr">
        <is>
          <t>4325</t>
        </is>
      </c>
      <c r="K411" t="inlineStr">
        <is>
          <t>0.0</t>
        </is>
      </c>
      <c r="L411" t="inlineStr">
        <is>
          <t>30275</t>
        </is>
      </c>
      <c r="M411" t="inlineStr">
        <is>
          <t>35 725</t>
        </is>
      </c>
    </row>
    <row r="412">
      <c r="A412" t="inlineStr">
        <is>
          <t>T05-251101-109861</t>
        </is>
      </c>
      <c r="B412" t="inlineStr">
        <is>
          <t>2025-11-01</t>
        </is>
      </c>
      <c r="C412" t="inlineStr">
        <is>
          <t>17:26</t>
        </is>
      </c>
      <c r="D412" t="inlineStr">
        <is>
          <t>Magasin 5 — Kaya Marché</t>
        </is>
      </c>
      <c r="E412" t="inlineStr">
        <is>
          <t>Salamatu Sankara</t>
        </is>
      </c>
      <c r="F412" t="inlineStr">
        <is>
          <t>9495</t>
        </is>
      </c>
      <c r="G412" t="inlineStr">
        <is>
          <t>Meuleuse 125 mm — réf 2</t>
        </is>
      </c>
      <c r="H412" t="inlineStr">
        <is>
          <t>Quincaillerie</t>
        </is>
      </c>
      <c r="I412" t="inlineStr">
        <is>
          <t>1</t>
        </is>
      </c>
      <c r="J412" t="inlineStr">
        <is>
          <t>6000</t>
        </is>
      </c>
      <c r="K412" t="inlineStr">
        <is>
          <t>0.0</t>
        </is>
      </c>
      <c r="L412" t="inlineStr">
        <is>
          <t>6000</t>
        </is>
      </c>
      <c r="M412" t="inlineStr">
        <is>
          <t>7 080</t>
        </is>
      </c>
    </row>
    <row r="413">
      <c r="A413" t="inlineStr">
        <is>
          <t>T05-251101-109862</t>
        </is>
      </c>
      <c r="B413" t="inlineStr">
        <is>
          <t>01/11/2025</t>
        </is>
      </c>
      <c r="C413" t="inlineStr">
        <is>
          <t>18:37</t>
        </is>
      </c>
      <c r="D413" t="inlineStr">
        <is>
          <t>Magasin 5 — Kaya Marché</t>
        </is>
      </c>
      <c r="E413" t="inlineStr">
        <is>
          <t>Adama Bationo</t>
        </is>
      </c>
      <c r="F413" t="inlineStr">
        <is>
          <t>16057</t>
        </is>
      </c>
      <c r="G413" t="inlineStr">
        <is>
          <t>Tableau 18 modules — réf 2</t>
        </is>
      </c>
      <c r="H413" t="inlineStr">
        <is>
          <t>Electricité</t>
        </is>
      </c>
      <c r="I413" t="inlineStr">
        <is>
          <t>3</t>
        </is>
      </c>
      <c r="J413" t="inlineStr">
        <is>
          <t>9075</t>
        </is>
      </c>
      <c r="K413" t="inlineStr">
        <is>
          <t>0.0</t>
        </is>
      </c>
      <c r="L413" t="inlineStr">
        <is>
          <t>27225</t>
        </is>
      </c>
      <c r="M413" t="inlineStr">
        <is>
          <t>32 125</t>
        </is>
      </c>
    </row>
    <row r="414">
      <c r="A414" t="inlineStr">
        <is>
          <t>T05-251101-109862</t>
        </is>
      </c>
      <c r="B414" t="inlineStr">
        <is>
          <t>2025-11-01</t>
        </is>
      </c>
      <c r="C414" t="inlineStr">
        <is>
          <t>12:19</t>
        </is>
      </c>
      <c r="D414" t="inlineStr">
        <is>
          <t>Magasin 5 — Kaya Marché</t>
        </is>
      </c>
      <c r="E414" t="inlineStr">
        <is>
          <t>Moussa Ilboudo</t>
        </is>
      </c>
      <c r="F414" t="inlineStr">
        <is>
          <t>0</t>
        </is>
      </c>
      <c r="G414" t="inlineStr">
        <is>
          <t>Échelle aluminium 4 marches — réf 2</t>
        </is>
      </c>
      <c r="H414" t="inlineStr">
        <is>
          <t>Consommables</t>
        </is>
      </c>
      <c r="I414" t="inlineStr">
        <is>
          <t>8</t>
        </is>
      </c>
      <c r="J414" t="inlineStr">
        <is>
          <t>8600</t>
        </is>
      </c>
      <c r="K414" t="inlineStr">
        <is>
          <t>0.0</t>
        </is>
      </c>
      <c r="L414" t="inlineStr">
        <is>
          <t>68800</t>
        </is>
      </c>
      <c r="M414" t="inlineStr">
        <is>
          <t>81 184</t>
        </is>
      </c>
    </row>
    <row r="415">
      <c r="A415" t="inlineStr">
        <is>
          <t>T05-251101-109862</t>
        </is>
      </c>
      <c r="B415" t="inlineStr">
        <is>
          <t>2025-11-01</t>
        </is>
      </c>
      <c r="C415" t="inlineStr">
        <is>
          <t>08:30</t>
        </is>
      </c>
      <c r="D415" t="inlineStr">
        <is>
          <t>Magasin 5 — Kaya Marché</t>
        </is>
      </c>
      <c r="E415" t="inlineStr">
        <is>
          <t>Salamatu Sankara</t>
        </is>
      </c>
      <c r="F415" t="inlineStr">
        <is>
          <t>8620</t>
        </is>
      </c>
      <c r="G415" t="inlineStr">
        <is>
          <t>Ciment CPJ45 50 kg — réf 2</t>
        </is>
      </c>
      <c r="H415" t="inlineStr">
        <is>
          <t>Matériaux</t>
        </is>
      </c>
      <c r="I415" t="inlineStr">
        <is>
          <t>21</t>
        </is>
      </c>
      <c r="J415" t="inlineStr">
        <is>
          <t>6350</t>
        </is>
      </c>
      <c r="K415" t="inlineStr">
        <is>
          <t>0.0</t>
        </is>
      </c>
      <c r="L415" t="inlineStr">
        <is>
          <t>133350</t>
        </is>
      </c>
      <c r="M415" t="inlineStr">
        <is>
          <t>157 353</t>
        </is>
      </c>
    </row>
    <row r="416">
      <c r="A416" t="inlineStr">
        <is>
          <t>T05-251101-109863</t>
        </is>
      </c>
      <c r="B416" t="inlineStr">
        <is>
          <t>2025-11-01</t>
        </is>
      </c>
      <c r="C416" t="inlineStr">
        <is>
          <t>13:59</t>
        </is>
      </c>
      <c r="D416" t="inlineStr">
        <is>
          <t>Magasin 5 — Kaya Marché</t>
        </is>
      </c>
      <c r="E416" t="inlineStr">
        <is>
          <t>Moussa Ilboudo</t>
        </is>
      </c>
      <c r="F416" t="inlineStr">
        <is>
          <t>13950</t>
        </is>
      </c>
      <c r="G416" t="inlineStr">
        <is>
          <t>Lampe torche rechargeable — réf 2</t>
        </is>
      </c>
      <c r="H416" t="inlineStr">
        <is>
          <t>Electricité</t>
        </is>
      </c>
      <c r="I416" t="inlineStr">
        <is>
          <t>2</t>
        </is>
      </c>
      <c r="J416" t="inlineStr">
        <is>
          <t>20850</t>
        </is>
      </c>
      <c r="K416" t="inlineStr">
        <is>
          <t>0.0</t>
        </is>
      </c>
      <c r="L416" t="inlineStr">
        <is>
          <t>41700</t>
        </is>
      </c>
      <c r="M416" t="inlineStr">
        <is>
          <t>49 206</t>
        </is>
      </c>
    </row>
    <row r="417">
      <c r="A417" t="inlineStr">
        <is>
          <t>T05-251101-109863</t>
        </is>
      </c>
      <c r="B417" t="inlineStr">
        <is>
          <t>2025-11-01</t>
        </is>
      </c>
      <c r="C417" t="inlineStr">
        <is>
          <t>11:20</t>
        </is>
      </c>
      <c r="D417" t="inlineStr">
        <is>
          <t>Magasin 5 — Kaya Marché</t>
        </is>
      </c>
      <c r="E417" t="inlineStr">
        <is>
          <t>Salamatu Sankara</t>
        </is>
      </c>
      <c r="F417" t="inlineStr">
        <is>
          <t>15812</t>
        </is>
      </c>
      <c r="G417" t="inlineStr">
        <is>
          <t>Baguette de finition 2,4 m — réf 1</t>
        </is>
      </c>
      <c r="H417" t="inlineStr">
        <is>
          <t>Bois &amp; panneaux</t>
        </is>
      </c>
      <c r="I417" t="inlineStr">
        <is>
          <t>1</t>
        </is>
      </c>
      <c r="J417" t="inlineStr">
        <is>
          <t>11350</t>
        </is>
      </c>
      <c r="K417" t="inlineStr">
        <is>
          <t>0.04</t>
        </is>
      </c>
      <c r="L417" t="inlineStr">
        <is>
          <t>10896</t>
        </is>
      </c>
      <c r="M417" t="inlineStr">
        <is>
          <t>12 857</t>
        </is>
      </c>
    </row>
    <row r="418">
      <c r="A418" t="inlineStr">
        <is>
          <t>T05-251101-109863</t>
        </is>
      </c>
      <c r="B418" t="inlineStr">
        <is>
          <t>01/11/2025</t>
        </is>
      </c>
      <c r="C418" t="inlineStr">
        <is>
          <t>12:26</t>
        </is>
      </c>
      <c r="D418" t="inlineStr">
        <is>
          <t>Magasin 5 — Kaya Marché</t>
        </is>
      </c>
      <c r="E418" t="inlineStr">
        <is>
          <t>Boureima Ouédraogo</t>
        </is>
      </c>
      <c r="F418" t="inlineStr">
        <is>
          <t>12915</t>
        </is>
      </c>
      <c r="G418" t="inlineStr">
        <is>
          <t>Raccord laiton 20/27 — réf 1</t>
        </is>
      </c>
      <c r="H418" t="inlineStr">
        <is>
          <t>Plomberie</t>
        </is>
      </c>
      <c r="I418" t="inlineStr">
        <is>
          <t>6</t>
        </is>
      </c>
      <c r="J418" t="inlineStr">
        <is>
          <t>4575</t>
        </is>
      </c>
      <c r="K418" t="inlineStr">
        <is>
          <t>0.0</t>
        </is>
      </c>
      <c r="L418" t="inlineStr">
        <is>
          <t>27450</t>
        </is>
      </c>
      <c r="M418" t="inlineStr">
        <is>
          <t>32 391</t>
        </is>
      </c>
    </row>
    <row r="419">
      <c r="A419" t="inlineStr">
        <is>
          <t>T05-251101-109864</t>
        </is>
      </c>
      <c r="B419" t="inlineStr">
        <is>
          <t>2025-11-01</t>
        </is>
      </c>
      <c r="C419" t="inlineStr">
        <is>
          <t>16:29</t>
        </is>
      </c>
      <c r="D419" t="inlineStr">
        <is>
          <t>Magasin 5 — Kaya Marché</t>
        </is>
      </c>
      <c r="E419" t="inlineStr">
        <is>
          <t>Adama Bationo</t>
        </is>
      </c>
      <c r="F419" t="inlineStr">
        <is>
          <t>14299</t>
        </is>
      </c>
      <c r="G419" t="inlineStr">
        <is>
          <t>Clé plate 13 — réf 2</t>
        </is>
      </c>
      <c r="H419" t="inlineStr">
        <is>
          <t>Quincaillerie</t>
        </is>
      </c>
      <c r="I419" t="inlineStr">
        <is>
          <t>13</t>
        </is>
      </c>
      <c r="J419" t="inlineStr">
        <is>
          <t>10450</t>
        </is>
      </c>
      <c r="K419" t="inlineStr">
        <is>
          <t>0.0</t>
        </is>
      </c>
      <c r="L419" t="inlineStr">
        <is>
          <t>135850</t>
        </is>
      </c>
      <c r="M419" t="inlineStr">
        <is>
          <t>160 303</t>
        </is>
      </c>
    </row>
    <row r="420">
      <c r="A420" t="inlineStr">
        <is>
          <t>T05-251101-109864</t>
        </is>
      </c>
      <c r="B420" t="inlineStr">
        <is>
          <t>2025-11-01</t>
        </is>
      </c>
      <c r="C420" t="inlineStr">
        <is>
          <t>14:04</t>
        </is>
      </c>
      <c r="D420" t="inlineStr">
        <is>
          <t>Magasin 5 — Kaya Marché</t>
        </is>
      </c>
      <c r="E420" t="inlineStr">
        <is>
          <t>Salamatu Sankara</t>
        </is>
      </c>
      <c r="F420" t="inlineStr">
        <is>
          <t>0</t>
        </is>
      </c>
      <c r="G420" t="inlineStr">
        <is>
          <t>Tournevis cruciforme PH2 — réf 2</t>
        </is>
      </c>
      <c r="H420" t="inlineStr">
        <is>
          <t>Quincaillerie</t>
        </is>
      </c>
      <c r="I420" t="inlineStr">
        <is>
          <t>2</t>
        </is>
      </c>
      <c r="J420" t="inlineStr">
        <is>
          <t>6225</t>
        </is>
      </c>
      <c r="K420" t="inlineStr">
        <is>
          <t>0.0</t>
        </is>
      </c>
      <c r="L420" t="inlineStr">
        <is>
          <t>12450</t>
        </is>
      </c>
      <c r="M420" t="inlineStr">
        <is>
          <t>14 691</t>
        </is>
      </c>
    </row>
    <row r="421">
      <c r="A421" t="inlineStr">
        <is>
          <t>T05-251101-109864</t>
        </is>
      </c>
      <c r="B421" t="inlineStr">
        <is>
          <t>2025-11-01</t>
        </is>
      </c>
      <c r="C421" t="inlineStr">
        <is>
          <t>18:51</t>
        </is>
      </c>
      <c r="D421" t="inlineStr">
        <is>
          <t>Magasin 5 — Kaya Marché</t>
        </is>
      </c>
      <c r="E421" t="inlineStr">
        <is>
          <t>Adama Bationo</t>
        </is>
      </c>
      <c r="F421" t="inlineStr">
        <is>
          <t>13348</t>
        </is>
      </c>
      <c r="G421" t="inlineStr">
        <is>
          <t>Antirouille rouge brique 1 L — réf 1</t>
        </is>
      </c>
      <c r="H421" t="inlineStr">
        <is>
          <t>Peinture</t>
        </is>
      </c>
      <c r="I421" t="inlineStr">
        <is>
          <t>3</t>
        </is>
      </c>
      <c r="J421" t="inlineStr">
        <is>
          <t>5050</t>
        </is>
      </c>
      <c r="K421" t="inlineStr">
        <is>
          <t>0.04</t>
        </is>
      </c>
      <c r="L421" t="inlineStr">
        <is>
          <t>14544</t>
        </is>
      </c>
      <c r="M421" t="inlineStr">
        <is>
          <t>17 162</t>
        </is>
      </c>
    </row>
    <row r="422">
      <c r="A422" t="inlineStr">
        <is>
          <t>T05-251101-109865</t>
        </is>
      </c>
      <c r="B422" t="inlineStr">
        <is>
          <t>2025-11-01</t>
        </is>
      </c>
      <c r="C422" t="inlineStr">
        <is>
          <t>16:26</t>
        </is>
      </c>
      <c r="D422" t="inlineStr">
        <is>
          <t>Magasin 5 — Kaya Marché</t>
        </is>
      </c>
      <c r="E422" t="inlineStr">
        <is>
          <t>Adama Bationo</t>
        </is>
      </c>
      <c r="F422" t="inlineStr">
        <is>
          <t>14936</t>
        </is>
      </c>
      <c r="G422" t="inlineStr">
        <is>
          <t>Pavé autobloquant — réf 1</t>
        </is>
      </c>
      <c r="H422" t="inlineStr">
        <is>
          <t>Matériaux</t>
        </is>
      </c>
      <c r="I422" t="inlineStr">
        <is>
          <t>7</t>
        </is>
      </c>
      <c r="J422" t="inlineStr">
        <is>
          <t>1125</t>
        </is>
      </c>
      <c r="K422" t="inlineStr">
        <is>
          <t>0.04</t>
        </is>
      </c>
      <c r="L422" t="inlineStr">
        <is>
          <t>7560</t>
        </is>
      </c>
      <c r="M422" t="inlineStr">
        <is>
          <t>8 921</t>
        </is>
      </c>
    </row>
    <row r="423">
      <c r="A423" t="inlineStr">
        <is>
          <t>T05-251101-109865</t>
        </is>
      </c>
      <c r="B423" t="inlineStr">
        <is>
          <t>2025-11-01</t>
        </is>
      </c>
      <c r="C423" t="inlineStr">
        <is>
          <t>10:51</t>
        </is>
      </c>
      <c r="D423" t="inlineStr">
        <is>
          <t>Magasin 5 — Kaya Marché</t>
        </is>
      </c>
      <c r="E423" t="inlineStr">
        <is>
          <t>Boureima Ouédraogo</t>
        </is>
      </c>
      <c r="F423" t="inlineStr">
        <is>
          <t>18585</t>
        </is>
      </c>
      <c r="G423" t="inlineStr">
        <is>
          <t>Tournevis cruciforme PH2 — réf 1</t>
        </is>
      </c>
      <c r="H423" t="inlineStr">
        <is>
          <t>Quincaillerie</t>
        </is>
      </c>
      <c r="I423" t="inlineStr">
        <is>
          <t>4</t>
        </is>
      </c>
      <c r="J423" t="inlineStr">
        <is>
          <t>8050</t>
        </is>
      </c>
      <c r="K423" t="inlineStr">
        <is>
          <t>0.0</t>
        </is>
      </c>
      <c r="L423" t="inlineStr">
        <is>
          <t>32200</t>
        </is>
      </c>
      <c r="M423" t="inlineStr">
        <is>
          <t>37 996</t>
        </is>
      </c>
    </row>
    <row r="424">
      <c r="A424" t="inlineStr">
        <is>
          <t>T05-251101-109865</t>
        </is>
      </c>
      <c r="B424" t="inlineStr">
        <is>
          <t>01/11/2025</t>
        </is>
      </c>
      <c r="C424" t="inlineStr">
        <is>
          <t>10:18</t>
        </is>
      </c>
      <c r="D424" t="inlineStr">
        <is>
          <t>Magasin 5 — Kaya Marché</t>
        </is>
      </c>
      <c r="E424" t="inlineStr">
        <is>
          <t>Boureima Ouédraogo</t>
        </is>
      </c>
      <c r="F424" t="inlineStr">
        <is>
          <t>21884</t>
        </is>
      </c>
      <c r="G424" t="inlineStr">
        <is>
          <t>Ciment CPJ45 50 kg — réf 1</t>
        </is>
      </c>
      <c r="H424" t="inlineStr">
        <is>
          <t>Matériaux</t>
        </is>
      </c>
      <c r="I424" t="inlineStr">
        <is>
          <t>5</t>
        </is>
      </c>
      <c r="J424" t="inlineStr">
        <is>
          <t>6175</t>
        </is>
      </c>
      <c r="K424" t="inlineStr">
        <is>
          <t>0.04</t>
        </is>
      </c>
      <c r="L424" t="inlineStr">
        <is>
          <t>29640</t>
        </is>
      </c>
      <c r="M424" t="inlineStr">
        <is>
          <t>34 975</t>
        </is>
      </c>
    </row>
    <row r="425">
      <c r="A425" t="inlineStr">
        <is>
          <t>T05-251101-109866</t>
        </is>
      </c>
      <c r="B425" t="inlineStr">
        <is>
          <t>2025-11-01</t>
        </is>
      </c>
      <c r="C425" t="inlineStr">
        <is>
          <t>09:13</t>
        </is>
      </c>
      <c r="D425" t="inlineStr">
        <is>
          <t>Magasin 5 — Kaya Marché</t>
        </is>
      </c>
      <c r="E425" t="inlineStr">
        <is>
          <t>Adama Bationo</t>
        </is>
      </c>
      <c r="F425" t="inlineStr">
        <is>
          <t>0</t>
        </is>
      </c>
      <c r="G425" t="inlineStr">
        <is>
          <t>Ciment CPJ45 50 kg — réf 1</t>
        </is>
      </c>
      <c r="H425" t="inlineStr">
        <is>
          <t>Matériaux</t>
        </is>
      </c>
      <c r="I425" t="inlineStr">
        <is>
          <t>6</t>
        </is>
      </c>
      <c r="J425" t="inlineStr">
        <is>
          <t>5950</t>
        </is>
      </c>
      <c r="K425" t="inlineStr">
        <is>
          <t>0.0</t>
        </is>
      </c>
      <c r="L425" t="inlineStr">
        <is>
          <t>35700</t>
        </is>
      </c>
      <c r="M425" t="inlineStr">
        <is>
          <t>42 126</t>
        </is>
      </c>
    </row>
    <row r="426">
      <c r="A426" t="inlineStr">
        <is>
          <t>T05-251101-109866</t>
        </is>
      </c>
      <c r="B426" t="inlineStr">
        <is>
          <t>2025-11-01</t>
        </is>
      </c>
      <c r="C426" t="inlineStr">
        <is>
          <t>13:57</t>
        </is>
      </c>
      <c r="D426" t="inlineStr">
        <is>
          <t>Magasin 5 — Kaya Marché</t>
        </is>
      </c>
      <c r="E426" t="inlineStr">
        <is>
          <t>Boureima Ouédraogo</t>
        </is>
      </c>
      <c r="F426" t="inlineStr">
        <is>
          <t>5725</t>
        </is>
      </c>
      <c r="G426" t="inlineStr">
        <is>
          <t>Scie égoïne 500 mm — réf 2</t>
        </is>
      </c>
      <c r="H426" t="inlineStr">
        <is>
          <t>Quincaillerie</t>
        </is>
      </c>
      <c r="I426" t="inlineStr">
        <is>
          <t>8</t>
        </is>
      </c>
      <c r="J426" t="inlineStr">
        <is>
          <t>10125</t>
        </is>
      </c>
      <c r="K426" t="inlineStr">
        <is>
          <t>0.0</t>
        </is>
      </c>
      <c r="L426" t="inlineStr">
        <is>
          <t>81000</t>
        </is>
      </c>
      <c r="M426" t="inlineStr">
        <is>
          <t>95 580</t>
        </is>
      </c>
    </row>
    <row r="427">
      <c r="A427" t="inlineStr">
        <is>
          <t>T05-251101-109866</t>
        </is>
      </c>
      <c r="B427" t="inlineStr">
        <is>
          <t>2025-11-01</t>
        </is>
      </c>
      <c r="C427" t="inlineStr">
        <is>
          <t>07:14</t>
        </is>
      </c>
      <c r="D427" t="inlineStr">
        <is>
          <t>Magasin 5 — Kaya Marché</t>
        </is>
      </c>
      <c r="E427" t="inlineStr">
        <is>
          <t>Adama Bationo</t>
        </is>
      </c>
      <c r="F427" t="inlineStr">
        <is>
          <t>7120</t>
        </is>
      </c>
      <c r="G427" t="inlineStr">
        <is>
          <t>Brouette en kit — réf 1</t>
        </is>
      </c>
      <c r="H427" t="inlineStr">
        <is>
          <t>Consommables</t>
        </is>
      </c>
      <c r="I427" t="inlineStr">
        <is>
          <t>7</t>
        </is>
      </c>
      <c r="J427" t="inlineStr">
        <is>
          <t>9300</t>
        </is>
      </c>
      <c r="K427" t="inlineStr">
        <is>
          <t>0.08</t>
        </is>
      </c>
      <c r="L427" t="inlineStr">
        <is>
          <t>59892</t>
        </is>
      </c>
      <c r="M427" t="inlineStr">
        <is>
          <t>70 673</t>
        </is>
      </c>
    </row>
    <row r="428">
      <c r="A428" t="inlineStr">
        <is>
          <t>T05-251101-109867</t>
        </is>
      </c>
      <c r="B428" t="inlineStr">
        <is>
          <t>2025-11-01</t>
        </is>
      </c>
      <c r="C428" t="inlineStr">
        <is>
          <t>18:24</t>
        </is>
      </c>
      <c r="D428" t="inlineStr">
        <is>
          <t>Magasin 5 — Kaya Marché</t>
        </is>
      </c>
      <c r="E428" t="inlineStr">
        <is>
          <t>Adama Bationo</t>
        </is>
      </c>
      <c r="F428" t="inlineStr">
        <is>
          <t>1455</t>
        </is>
      </c>
      <c r="G428" t="inlineStr">
        <is>
          <t>Mètre ruban 5 m — réf 2</t>
        </is>
      </c>
      <c r="H428" t="inlineStr">
        <is>
          <t>Quincaillerie</t>
        </is>
      </c>
      <c r="I428" t="inlineStr">
        <is>
          <t>17</t>
        </is>
      </c>
      <c r="J428" t="inlineStr">
        <is>
          <t>6375</t>
        </is>
      </c>
      <c r="K428" t="inlineStr">
        <is>
          <t>0.0</t>
        </is>
      </c>
      <c r="L428" t="inlineStr">
        <is>
          <t>108375</t>
        </is>
      </c>
      <c r="M428" t="inlineStr">
        <is>
          <t>127 883</t>
        </is>
      </c>
    </row>
    <row r="429">
      <c r="A429" t="inlineStr">
        <is>
          <t>T05-251101-109867</t>
        </is>
      </c>
      <c r="B429" t="inlineStr">
        <is>
          <t>2025-11-01</t>
        </is>
      </c>
      <c r="C429" t="inlineStr">
        <is>
          <t>15:31</t>
        </is>
      </c>
      <c r="D429" t="inlineStr">
        <is>
          <t>Magasin 5 — Kaya Marché</t>
        </is>
      </c>
      <c r="E429" t="inlineStr">
        <is>
          <t>Moussa Ilboudo</t>
        </is>
      </c>
      <c r="F429" t="inlineStr">
        <is>
          <t>8677</t>
        </is>
      </c>
      <c r="G429" t="inlineStr">
        <is>
          <t>Perforateur 800 W — réf 2</t>
        </is>
      </c>
      <c r="H429" t="inlineStr">
        <is>
          <t>Quincaillerie</t>
        </is>
      </c>
      <c r="I429" t="inlineStr">
        <is>
          <t>1</t>
        </is>
      </c>
      <c r="J429" t="inlineStr">
        <is>
          <t>5750</t>
        </is>
      </c>
      <c r="K429" t="inlineStr">
        <is>
          <t>0.0</t>
        </is>
      </c>
      <c r="L429" t="inlineStr">
        <is>
          <t>5750</t>
        </is>
      </c>
      <c r="M429" t="inlineStr">
        <is>
          <t>6 785</t>
        </is>
      </c>
    </row>
    <row r="430">
      <c r="A430" t="inlineStr">
        <is>
          <t>T05-251101-109867</t>
        </is>
      </c>
      <c r="B430" t="inlineStr">
        <is>
          <t>01/11/2025</t>
        </is>
      </c>
      <c r="C430" t="inlineStr">
        <is>
          <t>15:52</t>
        </is>
      </c>
      <c r="D430" t="inlineStr">
        <is>
          <t>Magasin 5 — Kaya Marché</t>
        </is>
      </c>
      <c r="E430" t="inlineStr">
        <is>
          <t>Moussa Ilboudo</t>
        </is>
      </c>
      <c r="F430" t="inlineStr">
        <is>
          <t>22191</t>
        </is>
      </c>
      <c r="G430" t="inlineStr">
        <is>
          <t>Boulon HM 10x40 (boîte) — réf 2</t>
        </is>
      </c>
      <c r="H430" t="inlineStr">
        <is>
          <t>Quincaillerie</t>
        </is>
      </c>
      <c r="I430" t="inlineStr">
        <is>
          <t>3</t>
        </is>
      </c>
      <c r="J430" t="inlineStr">
        <is>
          <t>2550</t>
        </is>
      </c>
      <c r="K430" t="inlineStr">
        <is>
          <t>0.04</t>
        </is>
      </c>
      <c r="L430" t="inlineStr">
        <is>
          <t>7344</t>
        </is>
      </c>
      <c r="M430" t="inlineStr">
        <is>
          <t>8 666</t>
        </is>
      </c>
    </row>
    <row r="431">
      <c r="A431" t="inlineStr">
        <is>
          <t>T05-251101-109868</t>
        </is>
      </c>
      <c r="B431" t="inlineStr">
        <is>
          <t>2025-11-01</t>
        </is>
      </c>
      <c r="C431" t="inlineStr">
        <is>
          <t>13:12</t>
        </is>
      </c>
      <c r="D431" t="inlineStr">
        <is>
          <t>Magasin 5 — Kaya Marché</t>
        </is>
      </c>
      <c r="E431" t="inlineStr">
        <is>
          <t>Moussa Ilboudo</t>
        </is>
      </c>
      <c r="F431" t="inlineStr">
        <is>
          <t>10560</t>
        </is>
      </c>
      <c r="G431" t="inlineStr">
        <is>
          <t>Brique de terre cuite — réf 2</t>
        </is>
      </c>
      <c r="H431" t="inlineStr">
        <is>
          <t>Matériaux</t>
        </is>
      </c>
      <c r="I431" t="inlineStr">
        <is>
          <t>5</t>
        </is>
      </c>
      <c r="J431" t="inlineStr">
        <is>
          <t>700</t>
        </is>
      </c>
      <c r="K431" t="inlineStr">
        <is>
          <t>0.04</t>
        </is>
      </c>
      <c r="L431" t="inlineStr">
        <is>
          <t>3360</t>
        </is>
      </c>
      <c r="M431" t="inlineStr">
        <is>
          <t>3 965</t>
        </is>
      </c>
    </row>
    <row r="432">
      <c r="A432" t="inlineStr">
        <is>
          <t>T05-251101-109868</t>
        </is>
      </c>
      <c r="B432" t="inlineStr">
        <is>
          <t>2025-11-01</t>
        </is>
      </c>
      <c r="C432" t="inlineStr">
        <is>
          <t>10:33</t>
        </is>
      </c>
      <c r="D432" t="inlineStr">
        <is>
          <t>Magasin 5 — Kaya Marché</t>
        </is>
      </c>
      <c r="E432" t="inlineStr">
        <is>
          <t>Boureima Ouédraogo</t>
        </is>
      </c>
      <c r="F432" t="inlineStr">
        <is>
          <t>22055</t>
        </is>
      </c>
      <c r="G432" t="inlineStr">
        <is>
          <t>Plaque de plâtre 13 mm — réf 2</t>
        </is>
      </c>
      <c r="H432" t="inlineStr">
        <is>
          <t>Bois &amp; panneaux</t>
        </is>
      </c>
      <c r="I432" t="inlineStr">
        <is>
          <t>3</t>
        </is>
      </c>
      <c r="J432" t="inlineStr">
        <is>
          <t>13550</t>
        </is>
      </c>
      <c r="K432" t="inlineStr">
        <is>
          <t>0.0</t>
        </is>
      </c>
      <c r="L432" t="inlineStr">
        <is>
          <t>40650</t>
        </is>
      </c>
      <c r="M432" t="inlineStr">
        <is>
          <t>47 967</t>
        </is>
      </c>
    </row>
    <row r="433">
      <c r="A433" t="inlineStr">
        <is>
          <t>T05-251101-109868</t>
        </is>
      </c>
      <c r="B433" t="inlineStr">
        <is>
          <t>2025-11-01</t>
        </is>
      </c>
      <c r="C433" t="inlineStr">
        <is>
          <t>08:38</t>
        </is>
      </c>
      <c r="D433" t="inlineStr">
        <is>
          <t>Magasin 5 — Kaya Marché</t>
        </is>
      </c>
      <c r="E433" t="inlineStr">
        <is>
          <t>Adama Bationo</t>
        </is>
      </c>
      <c r="F433" t="inlineStr">
        <is>
          <t>6090</t>
        </is>
      </c>
      <c r="G433" t="inlineStr">
        <is>
          <t>Meuleuse 125 mm — réf 2</t>
        </is>
      </c>
      <c r="H433" t="inlineStr">
        <is>
          <t>Quincaillerie</t>
        </is>
      </c>
      <c r="I433" t="inlineStr">
        <is>
          <t>1</t>
        </is>
      </c>
      <c r="J433" t="inlineStr">
        <is>
          <t>6000</t>
        </is>
      </c>
      <c r="K433" t="inlineStr">
        <is>
          <t>0.04</t>
        </is>
      </c>
      <c r="L433" t="inlineStr">
        <is>
          <t>5760</t>
        </is>
      </c>
      <c r="M433" t="inlineStr">
        <is>
          <t>6 797</t>
        </is>
      </c>
    </row>
    <row r="434">
      <c r="A434" t="inlineStr">
        <is>
          <t>T05-251101-109869</t>
        </is>
      </c>
      <c r="B434" t="inlineStr">
        <is>
          <t>2025-11-01</t>
        </is>
      </c>
      <c r="C434" t="inlineStr">
        <is>
          <t>11:37</t>
        </is>
      </c>
      <c r="D434" t="inlineStr">
        <is>
          <t>Magasin 5 — Kaya Marché</t>
        </is>
      </c>
      <c r="E434" t="inlineStr">
        <is>
          <t>Salamatu Sankara</t>
        </is>
      </c>
      <c r="F434" t="inlineStr">
        <is>
          <t>8539</t>
        </is>
      </c>
      <c r="G434" t="inlineStr">
        <is>
          <t>Antirouille rouge brique 1 L — réf 2</t>
        </is>
      </c>
      <c r="H434" t="inlineStr">
        <is>
          <t>Peinture</t>
        </is>
      </c>
      <c r="I434" t="inlineStr">
        <is>
          <t>8</t>
        </is>
      </c>
      <c r="J434" t="inlineStr">
        <is>
          <t>7075</t>
        </is>
      </c>
      <c r="K434" t="inlineStr">
        <is>
          <t>0.0</t>
        </is>
      </c>
      <c r="L434" t="inlineStr">
        <is>
          <t>56600</t>
        </is>
      </c>
      <c r="M434" t="inlineStr">
        <is>
          <t>66 788</t>
        </is>
      </c>
    </row>
    <row r="435">
      <c r="A435" t="inlineStr">
        <is>
          <t>T05-251101-109869</t>
        </is>
      </c>
      <c r="B435" t="inlineStr">
        <is>
          <t>2025-11-01</t>
        </is>
      </c>
      <c r="C435" t="inlineStr">
        <is>
          <t>17:41</t>
        </is>
      </c>
      <c r="D435" t="inlineStr">
        <is>
          <t>Magasin 5 — Kaya Marché</t>
        </is>
      </c>
      <c r="E435" t="inlineStr">
        <is>
          <t>Boureima Ouédraogo</t>
        </is>
      </c>
      <c r="F435" t="inlineStr">
        <is>
          <t>0</t>
        </is>
      </c>
      <c r="G435" t="inlineStr">
        <is>
          <t>Tout-venant (m3) — réf 1</t>
        </is>
      </c>
      <c r="H435" t="inlineStr">
        <is>
          <t>Matériaux</t>
        </is>
      </c>
      <c r="I435" t="inlineStr">
        <is>
          <t>5</t>
        </is>
      </c>
      <c r="J435" t="inlineStr">
        <is>
          <t>15725</t>
        </is>
      </c>
      <c r="K435" t="inlineStr">
        <is>
          <t>0.0</t>
        </is>
      </c>
      <c r="L435" t="inlineStr">
        <is>
          <t>78625</t>
        </is>
      </c>
      <c r="M435" t="inlineStr">
        <is>
          <t>92 777</t>
        </is>
      </c>
    </row>
    <row r="436">
      <c r="A436" t="inlineStr">
        <is>
          <t>T05-251101-109869</t>
        </is>
      </c>
      <c r="B436" t="inlineStr">
        <is>
          <t>2025-11-01</t>
        </is>
      </c>
      <c r="C436" t="inlineStr">
        <is>
          <t>17:41</t>
        </is>
      </c>
      <c r="D436" t="inlineStr">
        <is>
          <t>Magasin 5 — Kaya Marché</t>
        </is>
      </c>
      <c r="E436" t="inlineStr">
        <is>
          <t>Boureima Ouédraogo</t>
        </is>
      </c>
      <c r="F436" t="inlineStr">
        <is>
          <t>0</t>
        </is>
      </c>
      <c r="G436" t="inlineStr">
        <is>
          <t>Tout-venant (m3) — réf 1</t>
        </is>
      </c>
      <c r="H436" t="inlineStr">
        <is>
          <t>Matériaux</t>
        </is>
      </c>
      <c r="I436" t="inlineStr">
        <is>
          <t>5</t>
        </is>
      </c>
      <c r="J436" t="inlineStr">
        <is>
          <t>15725</t>
        </is>
      </c>
      <c r="K436" t="inlineStr">
        <is>
          <t>0.0</t>
        </is>
      </c>
      <c r="L436" t="inlineStr">
        <is>
          <t>78625</t>
        </is>
      </c>
      <c r="M436" t="inlineStr">
        <is>
          <t>92 777</t>
        </is>
      </c>
    </row>
    <row r="437">
      <c r="A437" t="inlineStr">
        <is>
          <t>T05-251101-109869</t>
        </is>
      </c>
      <c r="B437" t="inlineStr">
        <is>
          <t>2025-11-01</t>
        </is>
      </c>
      <c r="C437" t="inlineStr">
        <is>
          <t>14:22</t>
        </is>
      </c>
      <c r="D437" t="inlineStr">
        <is>
          <t>Magasin 5 — Kaya Marché</t>
        </is>
      </c>
      <c r="E437" t="inlineStr">
        <is>
          <t>Adama Bationo</t>
        </is>
      </c>
      <c r="F437" t="inlineStr">
        <is>
          <t>12264</t>
        </is>
      </c>
      <c r="G437" t="inlineStr">
        <is>
          <t>Douille E27 avec cordon — réf 1</t>
        </is>
      </c>
      <c r="H437" t="inlineStr">
        <is>
          <t>Electricité</t>
        </is>
      </c>
      <c r="I437" t="inlineStr">
        <is>
          <t>3</t>
        </is>
      </c>
      <c r="J437" t="inlineStr">
        <is>
          <t>12625</t>
        </is>
      </c>
      <c r="K437" t="inlineStr">
        <is>
          <t>0.0</t>
        </is>
      </c>
      <c r="L437" t="inlineStr">
        <is>
          <t>37875</t>
        </is>
      </c>
      <c r="M437" t="inlineStr">
        <is>
          <t>44 693</t>
        </is>
      </c>
    </row>
    <row r="438">
      <c r="A438" t="inlineStr">
        <is>
          <t>T05-251101-109870</t>
        </is>
      </c>
      <c r="B438" t="inlineStr">
        <is>
          <t>2025-11-01</t>
        </is>
      </c>
      <c r="C438" t="inlineStr">
        <is>
          <t>10:36</t>
        </is>
      </c>
      <c r="D438" t="inlineStr">
        <is>
          <t>Magasin 5 — Kaya Marché</t>
        </is>
      </c>
      <c r="E438" t="inlineStr">
        <is>
          <t>Adama Bationo</t>
        </is>
      </c>
      <c r="F438" t="inlineStr">
        <is>
          <t>0</t>
        </is>
      </c>
      <c r="G438" t="inlineStr">
        <is>
          <t>Tout-venant (m3) — réf 2</t>
        </is>
      </c>
      <c r="H438" t="inlineStr">
        <is>
          <t>Matériaux</t>
        </is>
      </c>
      <c r="I438" t="inlineStr">
        <is>
          <t>7</t>
        </is>
      </c>
      <c r="J438" t="inlineStr">
        <is>
          <t>23425</t>
        </is>
      </c>
      <c r="K438" t="inlineStr">
        <is>
          <t>0.0</t>
        </is>
      </c>
      <c r="L438" t="inlineStr">
        <is>
          <t>163975</t>
        </is>
      </c>
      <c r="M438" t="inlineStr">
        <is>
          <t>193 491</t>
        </is>
      </c>
    </row>
    <row r="439">
      <c r="A439" t="inlineStr">
        <is>
          <t>T05-251101-109870</t>
        </is>
      </c>
      <c r="B439" t="inlineStr">
        <is>
          <t>2025-11-01</t>
        </is>
      </c>
      <c r="C439" t="inlineStr">
        <is>
          <t>17:14</t>
        </is>
      </c>
      <c r="D439" t="inlineStr">
        <is>
          <t>Magasin 5 — Kaya Marché</t>
        </is>
      </c>
      <c r="E439" t="inlineStr">
        <is>
          <t>Adama Bationo</t>
        </is>
      </c>
      <c r="F439" t="inlineStr">
        <is>
          <t>16001</t>
        </is>
      </c>
      <c r="G439" t="inlineStr">
        <is>
          <t>Ciment CPJ35 50 kg — réf 1</t>
        </is>
      </c>
      <c r="H439" t="inlineStr">
        <is>
          <t>Matériaux</t>
        </is>
      </c>
      <c r="I439" t="inlineStr">
        <is>
          <t>5</t>
        </is>
      </c>
      <c r="J439" t="inlineStr">
        <is>
          <t>6250</t>
        </is>
      </c>
      <c r="K439" t="inlineStr">
        <is>
          <t>0.0</t>
        </is>
      </c>
      <c r="L439" t="inlineStr">
        <is>
          <t>31250</t>
        </is>
      </c>
      <c r="M439" t="inlineStr">
        <is>
          <t>36 875</t>
        </is>
      </c>
    </row>
    <row r="440">
      <c r="A440" t="inlineStr">
        <is>
          <t>T05-251102-109907</t>
        </is>
      </c>
      <c r="B440" t="inlineStr">
        <is>
          <t>2025-11-02</t>
        </is>
      </c>
      <c r="C440" t="inlineStr">
        <is>
          <t>11:14</t>
        </is>
      </c>
      <c r="D440" t="inlineStr">
        <is>
          <t>Magasin 5 — Kaya Marché</t>
        </is>
      </c>
      <c r="E440" t="inlineStr">
        <is>
          <t>Moussa Ilboudo</t>
        </is>
      </c>
      <c r="F440" t="inlineStr">
        <is>
          <t>353</t>
        </is>
      </c>
      <c r="G440" t="inlineStr">
        <is>
          <t>Marteau de menuisier — réf 2</t>
        </is>
      </c>
      <c r="H440" t="inlineStr">
        <is>
          <t>Quincaillerie</t>
        </is>
      </c>
      <c r="I440" t="inlineStr">
        <is>
          <t>13</t>
        </is>
      </c>
      <c r="J440" t="inlineStr">
        <is>
          <t>8600</t>
        </is>
      </c>
      <c r="K440" t="inlineStr">
        <is>
          <t>0.0</t>
        </is>
      </c>
      <c r="L440" t="inlineStr">
        <is>
          <t>111800</t>
        </is>
      </c>
      <c r="M440" t="inlineStr">
        <is>
          <t>131 924</t>
        </is>
      </c>
    </row>
    <row r="441">
      <c r="A441" t="inlineStr">
        <is>
          <t>T05-251102-109907</t>
        </is>
      </c>
      <c r="B441" t="inlineStr">
        <is>
          <t>2025-11-02</t>
        </is>
      </c>
      <c r="C441" t="inlineStr">
        <is>
          <t>11:59</t>
        </is>
      </c>
      <c r="D441" t="inlineStr">
        <is>
          <t>Magasin 5 — Kaya Marché</t>
        </is>
      </c>
      <c r="E441" t="inlineStr">
        <is>
          <t>Salamatu Sankara</t>
        </is>
      </c>
      <c r="F441" t="inlineStr">
        <is>
          <t>18568</t>
        </is>
      </c>
      <c r="G441" t="inlineStr">
        <is>
          <t>Gravier 15/25 (m3) — réf 2</t>
        </is>
      </c>
      <c r="H441" t="inlineStr">
        <is>
          <t>Matériaux</t>
        </is>
      </c>
      <c r="I441" t="inlineStr">
        <is>
          <t>10</t>
        </is>
      </c>
      <c r="J441" t="inlineStr">
        <is>
          <t>21025</t>
        </is>
      </c>
      <c r="K441" t="inlineStr">
        <is>
          <t>0.0</t>
        </is>
      </c>
      <c r="L441" t="inlineStr">
        <is>
          <t>210250</t>
        </is>
      </c>
      <c r="M441" t="inlineStr">
        <is>
          <t>248 095</t>
        </is>
      </c>
    </row>
    <row r="442">
      <c r="A442" t="inlineStr">
        <is>
          <t>T05-251102-109907</t>
        </is>
      </c>
      <c r="B442" t="inlineStr">
        <is>
          <t>2025-11-02</t>
        </is>
      </c>
      <c r="C442" t="inlineStr">
        <is>
          <t>10:51</t>
        </is>
      </c>
      <c r="D442" t="inlineStr">
        <is>
          <t>Magasin 5 — Kaya Marché</t>
        </is>
      </c>
      <c r="E442" t="inlineStr">
        <is>
          <t>Moussa Ilboudo</t>
        </is>
      </c>
      <c r="F442" t="inlineStr">
        <is>
          <t>3481</t>
        </is>
      </c>
      <c r="G442" t="inlineStr">
        <is>
          <t>Sable de rivière (m3) — réf 2</t>
        </is>
      </c>
      <c r="H442" t="inlineStr">
        <is>
          <t>Matériaux</t>
        </is>
      </c>
      <c r="I442" t="inlineStr">
        <is>
          <t>2</t>
        </is>
      </c>
      <c r="J442" t="inlineStr">
        <is>
          <t>25500</t>
        </is>
      </c>
      <c r="K442" t="inlineStr">
        <is>
          <t>0.08</t>
        </is>
      </c>
      <c r="L442" t="inlineStr">
        <is>
          <t>46920</t>
        </is>
      </c>
      <c r="M442" t="inlineStr">
        <is>
          <t>55 366</t>
        </is>
      </c>
    </row>
    <row r="443">
      <c r="A443" t="inlineStr">
        <is>
          <t>T05-251102-109908</t>
        </is>
      </c>
      <c r="B443" t="inlineStr">
        <is>
          <t>2025-11-02</t>
        </is>
      </c>
      <c r="C443" t="inlineStr">
        <is>
          <t>08:54</t>
        </is>
      </c>
      <c r="D443" t="inlineStr">
        <is>
          <t>Magasin 5 — Kaya Marché</t>
        </is>
      </c>
      <c r="E443" t="inlineStr">
        <is>
          <t>Moussa Ilboudo</t>
        </is>
      </c>
      <c r="F443" t="inlineStr">
        <is>
          <t>9329</t>
        </is>
      </c>
      <c r="G443" t="inlineStr">
        <is>
          <t>Ciment CPJ45 50 kg — réf 1</t>
        </is>
      </c>
      <c r="H443" t="inlineStr">
        <is>
          <t>Matériaux</t>
        </is>
      </c>
      <c r="I443" t="inlineStr">
        <is>
          <t>7</t>
        </is>
      </c>
      <c r="J443" t="inlineStr">
        <is>
          <t>5925</t>
        </is>
      </c>
      <c r="K443" t="inlineStr">
        <is>
          <t>0.0</t>
        </is>
      </c>
      <c r="L443" t="inlineStr">
        <is>
          <t>41475</t>
        </is>
      </c>
      <c r="M443" t="inlineStr">
        <is>
          <t>48 941</t>
        </is>
      </c>
    </row>
    <row r="444">
      <c r="A444" t="inlineStr">
        <is>
          <t>T05-251102-109908</t>
        </is>
      </c>
      <c r="B444" t="inlineStr">
        <is>
          <t>2025-11-02</t>
        </is>
      </c>
      <c r="C444" t="inlineStr">
        <is>
          <t>18:13</t>
        </is>
      </c>
      <c r="D444" t="inlineStr">
        <is>
          <t>Magasin 5 — Kaya Marché</t>
        </is>
      </c>
      <c r="E444" t="inlineStr">
        <is>
          <t>Adama Bationo</t>
        </is>
      </c>
      <c r="F444" t="inlineStr">
        <is>
          <t>246</t>
        </is>
      </c>
      <c r="G444" t="inlineStr">
        <is>
          <t>Douille E27 avec cordon — réf 2</t>
        </is>
      </c>
      <c r="H444" t="inlineStr">
        <is>
          <t>Electricité</t>
        </is>
      </c>
      <c r="I444" t="inlineStr">
        <is>
          <t>9</t>
        </is>
      </c>
      <c r="J444" t="inlineStr">
        <is>
          <t>18700</t>
        </is>
      </c>
      <c r="K444" t="inlineStr">
        <is>
          <t>0.0</t>
        </is>
      </c>
      <c r="L444" t="inlineStr">
        <is>
          <t>168300</t>
        </is>
      </c>
      <c r="M444" t="inlineStr">
        <is>
          <t>198 594</t>
        </is>
      </c>
    </row>
    <row r="445">
      <c r="A445" t="inlineStr">
        <is>
          <t>T05-251102-109908</t>
        </is>
      </c>
      <c r="B445" t="inlineStr">
        <is>
          <t>2025-11-02</t>
        </is>
      </c>
      <c r="C445" t="inlineStr">
        <is>
          <t>18:41</t>
        </is>
      </c>
      <c r="D445" t="inlineStr">
        <is>
          <t>Magasin 5 — Kaya Marché</t>
        </is>
      </c>
      <c r="E445" t="inlineStr">
        <is>
          <t>Salamatu Sankara</t>
        </is>
      </c>
      <c r="F445" t="inlineStr">
        <is>
          <t>12990</t>
        </is>
      </c>
      <c r="G445" t="inlineStr">
        <is>
          <t>Bêche à manche bois — réf 2</t>
        </is>
      </c>
      <c r="H445" t="inlineStr">
        <is>
          <t>Consommables</t>
        </is>
      </c>
      <c r="I445" t="inlineStr">
        <is>
          <t>10</t>
        </is>
      </c>
      <c r="J445" t="inlineStr">
        <is>
          <t>5825</t>
        </is>
      </c>
      <c r="K445" t="inlineStr">
        <is>
          <t>0.0</t>
        </is>
      </c>
      <c r="L445" t="inlineStr">
        <is>
          <t>58250</t>
        </is>
      </c>
      <c r="M445" t="inlineStr">
        <is>
          <t>68 735</t>
        </is>
      </c>
    </row>
    <row r="446">
      <c r="A446" t="inlineStr">
        <is>
          <t>T05-251102-109909</t>
        </is>
      </c>
      <c r="B446" t="inlineStr">
        <is>
          <t>2025-11-02</t>
        </is>
      </c>
      <c r="C446" t="inlineStr">
        <is>
          <t>18:56</t>
        </is>
      </c>
      <c r="D446" t="inlineStr">
        <is>
          <t>Magasin 5 — Kaya Marché</t>
        </is>
      </c>
      <c r="E446" t="inlineStr">
        <is>
          <t>Salamatu Sankara</t>
        </is>
      </c>
      <c r="F446" t="inlineStr">
        <is>
          <t>0</t>
        </is>
      </c>
      <c r="G446" t="inlineStr">
        <is>
          <t>Panneau contreplaqué 15 mm — réf 1</t>
        </is>
      </c>
      <c r="H446" t="inlineStr">
        <is>
          <t>Bois &amp; panneaux</t>
        </is>
      </c>
      <c r="I446" t="inlineStr">
        <is>
          <t>3</t>
        </is>
      </c>
      <c r="J446" t="inlineStr">
        <is>
          <t>18925</t>
        </is>
      </c>
      <c r="K446" t="inlineStr">
        <is>
          <t>0.0</t>
        </is>
      </c>
      <c r="L446" t="inlineStr">
        <is>
          <t>56775</t>
        </is>
      </c>
      <c r="M446" t="inlineStr">
        <is>
          <t>66 995</t>
        </is>
      </c>
    </row>
    <row r="447">
      <c r="A447" t="inlineStr">
        <is>
          <t>T05-251102-109909</t>
        </is>
      </c>
      <c r="B447" t="inlineStr">
        <is>
          <t>2025-11-02</t>
        </is>
      </c>
      <c r="C447" t="inlineStr">
        <is>
          <t>14:56</t>
        </is>
      </c>
      <c r="D447" t="inlineStr">
        <is>
          <t>Magasin 5 — Kaya Marché</t>
        </is>
      </c>
      <c r="E447" t="inlineStr">
        <is>
          <t>Moussa Ilboudo</t>
        </is>
      </c>
      <c r="F447" t="inlineStr">
        <is>
          <t>18869</t>
        </is>
      </c>
      <c r="G447" t="inlineStr">
        <is>
          <t>Ciment CPJ35 50 kg — réf 2</t>
        </is>
      </c>
      <c r="H447" t="inlineStr">
        <is>
          <t>Matériaux</t>
        </is>
      </c>
      <c r="I447" t="inlineStr">
        <is>
          <t>10</t>
        </is>
      </c>
      <c r="J447" t="inlineStr">
        <is>
          <t>4175</t>
        </is>
      </c>
      <c r="K447" t="inlineStr">
        <is>
          <t>0.0</t>
        </is>
      </c>
      <c r="L447" t="inlineStr">
        <is>
          <t>41750</t>
        </is>
      </c>
      <c r="M447" t="inlineStr">
        <is>
          <t>49 265</t>
        </is>
      </c>
    </row>
    <row r="448">
      <c r="A448" t="inlineStr">
        <is>
          <t>T05-251102-109909</t>
        </is>
      </c>
      <c r="B448" t="inlineStr">
        <is>
          <t>02/11/2025</t>
        </is>
      </c>
      <c r="C448" t="inlineStr">
        <is>
          <t>18:02</t>
        </is>
      </c>
      <c r="D448" t="inlineStr">
        <is>
          <t>Magasin 5 — Kaya Marché</t>
        </is>
      </c>
      <c r="E448" t="inlineStr">
        <is>
          <t>Adama Bationo</t>
        </is>
      </c>
      <c r="F448" t="inlineStr">
        <is>
          <t>13826</t>
        </is>
      </c>
      <c r="G448" t="inlineStr">
        <is>
          <t>Tout-venant (m3) — réf 2</t>
        </is>
      </c>
      <c r="H448" t="inlineStr">
        <is>
          <t>Matériaux</t>
        </is>
      </c>
      <c r="I448" t="inlineStr">
        <is>
          <t>2</t>
        </is>
      </c>
      <c r="J448" t="inlineStr">
        <is>
          <t>24425</t>
        </is>
      </c>
      <c r="K448" t="inlineStr">
        <is>
          <t>0.0</t>
        </is>
      </c>
      <c r="L448" t="inlineStr">
        <is>
          <t>48850</t>
        </is>
      </c>
      <c r="M448" t="inlineStr">
        <is>
          <t>57 643</t>
        </is>
      </c>
    </row>
    <row r="449">
      <c r="A449" t="inlineStr">
        <is>
          <t>T05-251103-110015</t>
        </is>
      </c>
      <c r="B449" t="inlineStr">
        <is>
          <t>2025-11-03</t>
        </is>
      </c>
      <c r="C449" t="inlineStr">
        <is>
          <t>12:13</t>
        </is>
      </c>
      <c r="D449" t="inlineStr">
        <is>
          <t>Magasin 5 — Kaya Marché</t>
        </is>
      </c>
      <c r="E449" t="inlineStr">
        <is>
          <t>Salamatu Sankara</t>
        </is>
      </c>
      <c r="F449" t="inlineStr">
        <is>
          <t>0</t>
        </is>
      </c>
      <c r="G449" t="inlineStr">
        <is>
          <t>Sable de rivière (m3) — réf 1</t>
        </is>
      </c>
      <c r="H449" t="inlineStr">
        <is>
          <t>Matériaux</t>
        </is>
      </c>
      <c r="I449" t="inlineStr">
        <is>
          <t>1</t>
        </is>
      </c>
      <c r="J449" t="inlineStr">
        <is>
          <t>25775</t>
        </is>
      </c>
      <c r="K449" t="inlineStr">
        <is>
          <t>0.0</t>
        </is>
      </c>
      <c r="L449" t="inlineStr">
        <is>
          <t>25775</t>
        </is>
      </c>
      <c r="M449" t="inlineStr">
        <is>
          <t>30 415</t>
        </is>
      </c>
    </row>
    <row r="450">
      <c r="A450" t="inlineStr">
        <is>
          <t>T05-251103-110015</t>
        </is>
      </c>
      <c r="B450" t="inlineStr">
        <is>
          <t>2025-11-03</t>
        </is>
      </c>
      <c r="C450" t="inlineStr">
        <is>
          <t>12:28</t>
        </is>
      </c>
      <c r="D450" t="inlineStr">
        <is>
          <t>Magasin 5 — Kaya Marché</t>
        </is>
      </c>
      <c r="E450" t="inlineStr">
        <is>
          <t>Moussa Ilboudo</t>
        </is>
      </c>
      <c r="F450" t="inlineStr">
        <is>
          <t>20631</t>
        </is>
      </c>
      <c r="G450" t="inlineStr">
        <is>
          <t>Fil de fer recuit (kg) — réf 1</t>
        </is>
      </c>
      <c r="H450" t="inlineStr">
        <is>
          <t>Quincaillerie</t>
        </is>
      </c>
      <c r="I450" t="inlineStr">
        <is>
          <t>18</t>
        </is>
      </c>
      <c r="J450" t="inlineStr">
        <is>
          <t>1550</t>
        </is>
      </c>
      <c r="K450" t="inlineStr">
        <is>
          <t>0.0</t>
        </is>
      </c>
      <c r="L450" t="inlineStr">
        <is>
          <t>27900</t>
        </is>
      </c>
      <c r="M450" t="inlineStr">
        <is>
          <t>32 922</t>
        </is>
      </c>
    </row>
    <row r="451">
      <c r="A451" t="inlineStr">
        <is>
          <t>T05-251201-113517</t>
        </is>
      </c>
      <c r="B451" t="inlineStr">
        <is>
          <t>01/12/2025</t>
        </is>
      </c>
      <c r="C451" t="inlineStr">
        <is>
          <t>08:55</t>
        </is>
      </c>
      <c r="D451" t="inlineStr">
        <is>
          <t>Magasin 5 — Kaya Marché</t>
        </is>
      </c>
      <c r="E451" t="inlineStr">
        <is>
          <t>Salamatu Sankara</t>
        </is>
      </c>
      <c r="F451" t="inlineStr"/>
      <c r="G451" t="inlineStr">
        <is>
          <t>Ballon d'eau chaude 50 L — réf 2</t>
        </is>
      </c>
      <c r="H451" t="inlineStr">
        <is>
          <t>Plomberie</t>
        </is>
      </c>
      <c r="I451" t="inlineStr">
        <is>
          <t>3</t>
        </is>
      </c>
      <c r="J451" t="inlineStr">
        <is>
          <t>36900</t>
        </is>
      </c>
      <c r="K451" t="inlineStr">
        <is>
          <t>0.0</t>
        </is>
      </c>
      <c r="L451" t="inlineStr">
        <is>
          <t>110700</t>
        </is>
      </c>
      <c r="M451" t="inlineStr">
        <is>
          <t>130 626</t>
        </is>
      </c>
    </row>
    <row r="452">
      <c r="A452" t="inlineStr">
        <is>
          <t>T05-251201-113518</t>
        </is>
      </c>
      <c r="B452" t="inlineStr">
        <is>
          <t>01/12/2025</t>
        </is>
      </c>
      <c r="C452" t="inlineStr">
        <is>
          <t>12:57</t>
        </is>
      </c>
      <c r="D452" t="inlineStr">
        <is>
          <t>Magasin 5 — Kaya Marché</t>
        </is>
      </c>
      <c r="E452" t="inlineStr">
        <is>
          <t>Salamatu Sankara</t>
        </is>
      </c>
      <c r="F452" t="inlineStr">
        <is>
          <t>15643</t>
        </is>
      </c>
      <c r="G452" t="inlineStr">
        <is>
          <t>Cheville nylon 8 mm (sachet) — réf 1</t>
        </is>
      </c>
      <c r="H452" t="inlineStr">
        <is>
          <t>Quincaillerie</t>
        </is>
      </c>
      <c r="I452" t="inlineStr">
        <is>
          <t>4</t>
        </is>
      </c>
      <c r="J452" t="inlineStr">
        <is>
          <t>2425</t>
        </is>
      </c>
      <c r="K452" t="inlineStr">
        <is>
          <t>0.0</t>
        </is>
      </c>
      <c r="L452" t="inlineStr">
        <is>
          <t>9700</t>
        </is>
      </c>
      <c r="M452" t="inlineStr">
        <is>
          <t>11 446</t>
        </is>
      </c>
    </row>
    <row r="453">
      <c r="A453" t="inlineStr">
        <is>
          <t>T05-251201-113519</t>
        </is>
      </c>
      <c r="B453" t="inlineStr">
        <is>
          <t>2025-12-01</t>
        </is>
      </c>
      <c r="C453" t="inlineStr">
        <is>
          <t>11:34</t>
        </is>
      </c>
      <c r="D453" t="inlineStr">
        <is>
          <t>Magasin 5 — Kaya Marché</t>
        </is>
      </c>
      <c r="E453" t="inlineStr">
        <is>
          <t>Moussa Ilboudo</t>
        </is>
      </c>
      <c r="F453" t="inlineStr">
        <is>
          <t>13087</t>
        </is>
      </c>
      <c r="G453" t="inlineStr">
        <is>
          <t>Plaque de plâtre 13 mm — réf 2</t>
        </is>
      </c>
      <c r="H453" t="inlineStr">
        <is>
          <t>Bois &amp; panneaux</t>
        </is>
      </c>
      <c r="I453" t="inlineStr">
        <is>
          <t>59</t>
        </is>
      </c>
      <c r="J453" t="inlineStr">
        <is>
          <t>13550</t>
        </is>
      </c>
      <c r="K453" t="inlineStr">
        <is>
          <t>0.0</t>
        </is>
      </c>
      <c r="L453" t="inlineStr">
        <is>
          <t>799450</t>
        </is>
      </c>
      <c r="M453" t="inlineStr">
        <is>
          <t>943 351</t>
        </is>
      </c>
    </row>
    <row r="454">
      <c r="A454" t="inlineStr">
        <is>
          <t>T05-251201-113520</t>
        </is>
      </c>
      <c r="B454" t="inlineStr">
        <is>
          <t>2025-12-01</t>
        </is>
      </c>
      <c r="C454" t="inlineStr">
        <is>
          <t>10:51</t>
        </is>
      </c>
      <c r="D454" t="inlineStr">
        <is>
          <t>Magasin 5 — Kaya Marché</t>
        </is>
      </c>
      <c r="E454" t="inlineStr">
        <is>
          <t>Moussa Ilboudo</t>
        </is>
      </c>
      <c r="F454" t="inlineStr">
        <is>
          <t>18687</t>
        </is>
      </c>
      <c r="G454" t="inlineStr">
        <is>
          <t>Gravier 15/25 (m3) — réf 2</t>
        </is>
      </c>
      <c r="H454" t="inlineStr">
        <is>
          <t>Matériaux</t>
        </is>
      </c>
      <c r="I454" t="inlineStr">
        <is>
          <t>1</t>
        </is>
      </c>
      <c r="J454" t="inlineStr">
        <is>
          <t>20975</t>
        </is>
      </c>
      <c r="K454" t="inlineStr">
        <is>
          <t>0.0</t>
        </is>
      </c>
      <c r="L454" t="inlineStr">
        <is>
          <t>20975</t>
        </is>
      </c>
      <c r="M454" t="inlineStr">
        <is>
          <t>24 751</t>
        </is>
      </c>
    </row>
    <row r="455">
      <c r="A455" t="inlineStr">
        <is>
          <t>T05-251201-113521</t>
        </is>
      </c>
      <c r="B455" t="inlineStr">
        <is>
          <t>2025-12-01</t>
        </is>
      </c>
      <c r="C455" t="inlineStr">
        <is>
          <t>09:35</t>
        </is>
      </c>
      <c r="D455" t="inlineStr">
        <is>
          <t>Magasin 5 — Kaya Marché</t>
        </is>
      </c>
      <c r="E455" t="inlineStr">
        <is>
          <t>Salamatu Sankara</t>
        </is>
      </c>
      <c r="F455" t="inlineStr">
        <is>
          <t>182</t>
        </is>
      </c>
      <c r="G455" t="inlineStr">
        <is>
          <t>Lavabo céramique — réf 1</t>
        </is>
      </c>
      <c r="H455" t="inlineStr">
        <is>
          <t>Plomberie</t>
        </is>
      </c>
      <c r="I455" t="inlineStr">
        <is>
          <t>24</t>
        </is>
      </c>
      <c r="J455" t="inlineStr">
        <is>
          <t>35450</t>
        </is>
      </c>
      <c r="K455" t="inlineStr">
        <is>
          <t>0.0</t>
        </is>
      </c>
      <c r="L455" t="inlineStr">
        <is>
          <t>850800</t>
        </is>
      </c>
      <c r="M455" t="inlineStr">
        <is>
          <t>1 003 944</t>
        </is>
      </c>
    </row>
    <row r="456">
      <c r="A456" t="inlineStr">
        <is>
          <t>T05-251201-113522</t>
        </is>
      </c>
      <c r="B456" t="inlineStr">
        <is>
          <t>2025-12-01</t>
        </is>
      </c>
      <c r="C456" t="inlineStr">
        <is>
          <t>11:42</t>
        </is>
      </c>
      <c r="D456" t="inlineStr">
        <is>
          <t>Magasin 5 — Kaya Marché</t>
        </is>
      </c>
      <c r="E456" t="inlineStr">
        <is>
          <t>Adama Bationo</t>
        </is>
      </c>
      <c r="F456" t="inlineStr">
        <is>
          <t>0</t>
        </is>
      </c>
      <c r="G456" t="inlineStr">
        <is>
          <t>Passe-câble étanche — réf 2</t>
        </is>
      </c>
      <c r="H456" t="inlineStr">
        <is>
          <t>Electricité</t>
        </is>
      </c>
      <c r="I456" t="inlineStr">
        <is>
          <t>1</t>
        </is>
      </c>
      <c r="J456" t="inlineStr">
        <is>
          <t>16150</t>
        </is>
      </c>
      <c r="K456" t="inlineStr">
        <is>
          <t>0.0</t>
        </is>
      </c>
      <c r="L456" t="inlineStr">
        <is>
          <t>16150</t>
        </is>
      </c>
      <c r="M456" t="inlineStr">
        <is>
          <t>19 057</t>
        </is>
      </c>
    </row>
    <row r="457">
      <c r="A457" t="inlineStr">
        <is>
          <t>T05-251201-113523</t>
        </is>
      </c>
      <c r="B457" t="inlineStr">
        <is>
          <t>2025-12-01</t>
        </is>
      </c>
      <c r="C457" t="inlineStr">
        <is>
          <t>08:13</t>
        </is>
      </c>
      <c r="D457" t="inlineStr">
        <is>
          <t>Magasin 5 — Kaya Marché</t>
        </is>
      </c>
      <c r="E457" t="inlineStr">
        <is>
          <t>Boureima Ouédraogo</t>
        </is>
      </c>
      <c r="F457" t="inlineStr">
        <is>
          <t>18174</t>
        </is>
      </c>
      <c r="G457" t="inlineStr">
        <is>
          <t>Niveau à bulle 600 mm — réf 1</t>
        </is>
      </c>
      <c r="H457" t="inlineStr">
        <is>
          <t>Quincaillerie</t>
        </is>
      </c>
      <c r="I457" t="inlineStr">
        <is>
          <t>11</t>
        </is>
      </c>
      <c r="J457" t="inlineStr">
        <is>
          <t>9275</t>
        </is>
      </c>
      <c r="K457" t="inlineStr">
        <is>
          <t>0.04</t>
        </is>
      </c>
      <c r="L457" t="inlineStr">
        <is>
          <t>97944</t>
        </is>
      </c>
      <c r="M457" t="inlineStr">
        <is>
          <t>115 574</t>
        </is>
      </c>
    </row>
    <row r="458">
      <c r="A458" t="inlineStr">
        <is>
          <t>T05-251201-113524</t>
        </is>
      </c>
      <c r="B458" t="inlineStr">
        <is>
          <t>2025-12-01</t>
        </is>
      </c>
      <c r="C458" t="inlineStr">
        <is>
          <t>17:56</t>
        </is>
      </c>
      <c r="D458" t="inlineStr">
        <is>
          <t>Magasin 5 — Kaya Marché</t>
        </is>
      </c>
      <c r="E458" t="inlineStr">
        <is>
          <t>Adama Bationo</t>
        </is>
      </c>
      <c r="F458" t="inlineStr">
        <is>
          <t>21539</t>
        </is>
      </c>
      <c r="G458" t="inlineStr">
        <is>
          <t>Antirouille rouge brique 1 L — réf 1</t>
        </is>
      </c>
      <c r="H458" t="inlineStr">
        <is>
          <t>Peinture</t>
        </is>
      </c>
      <c r="I458" t="inlineStr">
        <is>
          <t>37</t>
        </is>
      </c>
      <c r="J458" t="inlineStr">
        <is>
          <t>5175</t>
        </is>
      </c>
      <c r="K458" t="inlineStr">
        <is>
          <t>0.04</t>
        </is>
      </c>
      <c r="L458" t="inlineStr">
        <is>
          <t>183816</t>
        </is>
      </c>
      <c r="M458" t="inlineStr">
        <is>
          <t>216 903</t>
        </is>
      </c>
    </row>
    <row r="459">
      <c r="A459" t="inlineStr">
        <is>
          <t>T05-251201-113525</t>
        </is>
      </c>
      <c r="B459" t="inlineStr">
        <is>
          <t>2025-12-01</t>
        </is>
      </c>
      <c r="C459" t="inlineStr">
        <is>
          <t>10:15</t>
        </is>
      </c>
      <c r="D459" t="inlineStr">
        <is>
          <t>Magasin 5 — Kaya Marché</t>
        </is>
      </c>
      <c r="E459" t="inlineStr">
        <is>
          <t>Boureima Ouédraogo</t>
        </is>
      </c>
      <c r="F459" t="inlineStr">
        <is>
          <t>16109</t>
        </is>
      </c>
      <c r="G459" t="inlineStr">
        <is>
          <t>Meuleuse 125 mm — réf 2</t>
        </is>
      </c>
      <c r="H459" t="inlineStr">
        <is>
          <t>Quincaillerie</t>
        </is>
      </c>
      <c r="I459" t="inlineStr">
        <is>
          <t>3</t>
        </is>
      </c>
      <c r="J459" t="inlineStr">
        <is>
          <t>6100</t>
        </is>
      </c>
      <c r="K459" t="inlineStr">
        <is>
          <t>0.0</t>
        </is>
      </c>
      <c r="L459" t="inlineStr">
        <is>
          <t>18300</t>
        </is>
      </c>
      <c r="M459" t="inlineStr">
        <is>
          <t>21 594</t>
        </is>
      </c>
    </row>
    <row r="460">
      <c r="A460" t="inlineStr">
        <is>
          <t>T05-251201-113526</t>
        </is>
      </c>
      <c r="B460" t="inlineStr">
        <is>
          <t>2025-12-01</t>
        </is>
      </c>
      <c r="C460" t="inlineStr">
        <is>
          <t>15:09</t>
        </is>
      </c>
      <c r="D460" t="inlineStr">
        <is>
          <t>Magasin 5 — Kaya Marché</t>
        </is>
      </c>
      <c r="E460" t="inlineStr">
        <is>
          <t>Boureima Ouédraogo</t>
        </is>
      </c>
      <c r="F460" t="inlineStr">
        <is>
          <t>19011</t>
        </is>
      </c>
      <c r="G460" t="inlineStr">
        <is>
          <t>Fil de fer recuit (kg) — réf 2</t>
        </is>
      </c>
      <c r="H460" t="inlineStr">
        <is>
          <t>Quincaillerie</t>
        </is>
      </c>
      <c r="I460" t="inlineStr">
        <is>
          <t>3</t>
        </is>
      </c>
      <c r="J460" t="inlineStr">
        <is>
          <t>2000</t>
        </is>
      </c>
      <c r="K460" t="inlineStr">
        <is>
          <t>0.04</t>
        </is>
      </c>
      <c r="L460" t="inlineStr">
        <is>
          <t>5760</t>
        </is>
      </c>
      <c r="M460" t="inlineStr">
        <is>
          <t>6 797</t>
        </is>
      </c>
    </row>
    <row r="461">
      <c r="A461" t="inlineStr">
        <is>
          <t>T05-251201-113527</t>
        </is>
      </c>
      <c r="B461" t="inlineStr">
        <is>
          <t>2025-12-01</t>
        </is>
      </c>
      <c r="C461" t="inlineStr">
        <is>
          <t>13:42</t>
        </is>
      </c>
      <c r="D461" t="inlineStr">
        <is>
          <t>Magasin 5 — Kaya Marché</t>
        </is>
      </c>
      <c r="E461" t="inlineStr">
        <is>
          <t>Moussa Ilboudo</t>
        </is>
      </c>
      <c r="F461" t="inlineStr">
        <is>
          <t>16921</t>
        </is>
      </c>
      <c r="G461" t="inlineStr">
        <is>
          <t>Panneau solaire 100 W — réf 1</t>
        </is>
      </c>
      <c r="H461" t="inlineStr">
        <is>
          <t>Electricité</t>
        </is>
      </c>
      <c r="I461" t="inlineStr">
        <is>
          <t>2</t>
        </is>
      </c>
      <c r="J461" t="inlineStr">
        <is>
          <t>9425</t>
        </is>
      </c>
      <c r="K461" t="inlineStr">
        <is>
          <t>0.08</t>
        </is>
      </c>
      <c r="L461" t="inlineStr">
        <is>
          <t>17342</t>
        </is>
      </c>
      <c r="M461" t="inlineStr">
        <is>
          <t>20 464</t>
        </is>
      </c>
    </row>
    <row r="462">
      <c r="A462" t="inlineStr">
        <is>
          <t>T05-251201-113528</t>
        </is>
      </c>
      <c r="B462" t="inlineStr">
        <is>
          <t>2025-12-01</t>
        </is>
      </c>
      <c r="C462" t="inlineStr">
        <is>
          <t>11:46</t>
        </is>
      </c>
      <c r="D462" t="inlineStr">
        <is>
          <t>Magasin 5 — Kaya Marché</t>
        </is>
      </c>
      <c r="E462" t="inlineStr">
        <is>
          <t>Adama Bationo</t>
        </is>
      </c>
      <c r="F462" t="inlineStr">
        <is>
          <t>4067</t>
        </is>
      </c>
      <c r="G462" t="inlineStr">
        <is>
          <t>Brouette 90 L — réf 2</t>
        </is>
      </c>
      <c r="H462" t="inlineStr">
        <is>
          <t>Consommables</t>
        </is>
      </c>
      <c r="I462" t="inlineStr">
        <is>
          <t>23</t>
        </is>
      </c>
      <c r="J462" t="inlineStr">
        <is>
          <t>9600</t>
        </is>
      </c>
      <c r="K462" t="inlineStr">
        <is>
          <t>0.0</t>
        </is>
      </c>
      <c r="L462" t="inlineStr">
        <is>
          <t>220800</t>
        </is>
      </c>
      <c r="M462" t="inlineStr">
        <is>
          <t>260 544</t>
        </is>
      </c>
    </row>
    <row r="463">
      <c r="A463" t="inlineStr">
        <is>
          <t>T05-251201-113529</t>
        </is>
      </c>
      <c r="B463" t="inlineStr">
        <is>
          <t>2025-12-01</t>
        </is>
      </c>
      <c r="C463" t="inlineStr">
        <is>
          <t>08:14</t>
        </is>
      </c>
      <c r="D463" t="inlineStr">
        <is>
          <t>Magasin 5 — Kaya Marché</t>
        </is>
      </c>
      <c r="E463" t="inlineStr">
        <is>
          <t>Boureima Ouédraogo</t>
        </is>
      </c>
      <c r="F463" t="inlineStr">
        <is>
          <t>17916</t>
        </is>
      </c>
      <c r="G463" t="inlineStr">
        <is>
          <t>Panneau contreplaqué 15 mm — réf 2</t>
        </is>
      </c>
      <c r="H463" t="inlineStr">
        <is>
          <t>Bois &amp; panneaux</t>
        </is>
      </c>
      <c r="I463" t="inlineStr">
        <is>
          <t>2</t>
        </is>
      </c>
      <c r="J463" t="inlineStr">
        <is>
          <t>18100</t>
        </is>
      </c>
      <c r="K463" t="inlineStr">
        <is>
          <t>0.0</t>
        </is>
      </c>
      <c r="L463" t="inlineStr">
        <is>
          <t>36200</t>
        </is>
      </c>
      <c r="M463" t="inlineStr">
        <is>
          <t>42 716</t>
        </is>
      </c>
    </row>
    <row r="464">
      <c r="A464" t="inlineStr">
        <is>
          <t>T05-251201-113530</t>
        </is>
      </c>
      <c r="B464" t="inlineStr">
        <is>
          <t>2025-12-01</t>
        </is>
      </c>
      <c r="C464" t="inlineStr">
        <is>
          <t>18:02</t>
        </is>
      </c>
      <c r="D464" t="inlineStr">
        <is>
          <t>Magasin 5 — Kaya Marché</t>
        </is>
      </c>
      <c r="E464" t="inlineStr">
        <is>
          <t>Boureima Ouédraogo</t>
        </is>
      </c>
      <c r="F464" t="inlineStr">
        <is>
          <t>22381</t>
        </is>
      </c>
      <c r="G464" t="inlineStr">
        <is>
          <t>Pavé autobloquant — réf 1</t>
        </is>
      </c>
      <c r="H464" t="inlineStr">
        <is>
          <t>Matériaux</t>
        </is>
      </c>
      <c r="I464" t="inlineStr">
        <is>
          <t>1</t>
        </is>
      </c>
      <c r="J464" t="inlineStr">
        <is>
          <t>1125</t>
        </is>
      </c>
      <c r="K464" t="inlineStr">
        <is>
          <t>0.08</t>
        </is>
      </c>
      <c r="L464" t="inlineStr">
        <is>
          <t>1035</t>
        </is>
      </c>
      <c r="M464" t="inlineStr">
        <is>
          <t>1 221</t>
        </is>
      </c>
    </row>
    <row r="465">
      <c r="A465" t="inlineStr">
        <is>
          <t>T05-251201-113531</t>
        </is>
      </c>
      <c r="B465" t="inlineStr">
        <is>
          <t>2025-12-01</t>
        </is>
      </c>
      <c r="C465" t="inlineStr">
        <is>
          <t>16:16</t>
        </is>
      </c>
      <c r="D465" t="inlineStr">
        <is>
          <t>Magasin 5 — Kaya Marché</t>
        </is>
      </c>
      <c r="E465" t="inlineStr">
        <is>
          <t>Moussa Ilboudo</t>
        </is>
      </c>
      <c r="F465" t="inlineStr">
        <is>
          <t>0</t>
        </is>
      </c>
      <c r="G465" t="inlineStr">
        <is>
          <t>Chaux aérienne 25 kg — réf 2</t>
        </is>
      </c>
      <c r="H465" t="inlineStr">
        <is>
          <t>Matériaux</t>
        </is>
      </c>
      <c r="I465" t="inlineStr">
        <is>
          <t>6</t>
        </is>
      </c>
      <c r="J465" t="inlineStr">
        <is>
          <t>8025</t>
        </is>
      </c>
      <c r="K465" t="inlineStr">
        <is>
          <t>0.0</t>
        </is>
      </c>
      <c r="L465" t="inlineStr">
        <is>
          <t>48150</t>
        </is>
      </c>
      <c r="M465" t="inlineStr">
        <is>
          <t>56 817</t>
        </is>
      </c>
    </row>
    <row r="466">
      <c r="A466" t="inlineStr">
        <is>
          <t>T05-251201-113532</t>
        </is>
      </c>
      <c r="B466" t="inlineStr">
        <is>
          <t>01/12/2025</t>
        </is>
      </c>
      <c r="C466" t="inlineStr">
        <is>
          <t>08:07</t>
        </is>
      </c>
      <c r="D466" t="inlineStr">
        <is>
          <t>Magasin 5 — Kaya Marché</t>
        </is>
      </c>
      <c r="E466" t="inlineStr">
        <is>
          <t>Adama Bationo</t>
        </is>
      </c>
      <c r="F466" t="inlineStr">
        <is>
          <t>1716</t>
        </is>
      </c>
      <c r="G466" t="inlineStr">
        <is>
          <t>Vernis marin 1 L — réf 2</t>
        </is>
      </c>
      <c r="H466" t="inlineStr">
        <is>
          <t>Peinture</t>
        </is>
      </c>
      <c r="I466" t="inlineStr">
        <is>
          <t>22</t>
        </is>
      </c>
      <c r="J466" t="inlineStr">
        <is>
          <t>3800</t>
        </is>
      </c>
      <c r="K466" t="inlineStr">
        <is>
          <t>0.0</t>
        </is>
      </c>
      <c r="L466" t="inlineStr">
        <is>
          <t>83600</t>
        </is>
      </c>
      <c r="M466" t="inlineStr">
        <is>
          <t>98 648</t>
        </is>
      </c>
    </row>
    <row r="467">
      <c r="A467" t="inlineStr">
        <is>
          <t>T05-251201-113533</t>
        </is>
      </c>
      <c r="B467" t="inlineStr">
        <is>
          <t>2025-12-01</t>
        </is>
      </c>
      <c r="C467" t="inlineStr">
        <is>
          <t>11:43</t>
        </is>
      </c>
      <c r="D467" t="inlineStr">
        <is>
          <t>Magasin 5 — Kaya Marché</t>
        </is>
      </c>
      <c r="E467" t="inlineStr">
        <is>
          <t>Salamatu Sankara</t>
        </is>
      </c>
      <c r="F467" t="inlineStr">
        <is>
          <t>22495</t>
        </is>
      </c>
      <c r="G467" t="inlineStr">
        <is>
          <t>Brique de terre cuite — réf 2</t>
        </is>
      </c>
      <c r="H467" t="inlineStr">
        <is>
          <t>Matériaux</t>
        </is>
      </c>
      <c r="I467" t="inlineStr">
        <is>
          <t>10</t>
        </is>
      </c>
      <c r="J467" t="inlineStr">
        <is>
          <t>700</t>
        </is>
      </c>
      <c r="K467" t="inlineStr">
        <is>
          <t>0.0</t>
        </is>
      </c>
      <c r="L467" t="inlineStr">
        <is>
          <t>7000</t>
        </is>
      </c>
      <c r="M467" t="inlineStr">
        <is>
          <t>8 260</t>
        </is>
      </c>
    </row>
    <row r="468">
      <c r="A468" t="inlineStr">
        <is>
          <t>T05-251201-113534</t>
        </is>
      </c>
      <c r="B468" t="inlineStr">
        <is>
          <t>2025-12-01</t>
        </is>
      </c>
      <c r="C468" t="inlineStr">
        <is>
          <t>11:31</t>
        </is>
      </c>
      <c r="D468" t="inlineStr">
        <is>
          <t>Magasin 5 — Kaya Marché</t>
        </is>
      </c>
      <c r="E468" t="inlineStr">
        <is>
          <t>Adama Bationo</t>
        </is>
      </c>
      <c r="F468" t="inlineStr">
        <is>
          <t>21022</t>
        </is>
      </c>
      <c r="G468" t="inlineStr">
        <is>
          <t>Douche de toilettes — réf 2</t>
        </is>
      </c>
      <c r="H468" t="inlineStr">
        <is>
          <t>Plomberie</t>
        </is>
      </c>
      <c r="I468" t="inlineStr">
        <is>
          <t>2</t>
        </is>
      </c>
      <c r="J468" t="inlineStr">
        <is>
          <t>31500</t>
        </is>
      </c>
      <c r="K468" t="inlineStr">
        <is>
          <t>0.04</t>
        </is>
      </c>
      <c r="L468" t="inlineStr">
        <is>
          <t>60480</t>
        </is>
      </c>
      <c r="M468" t="inlineStr">
        <is>
          <t>71 366</t>
        </is>
      </c>
    </row>
    <row r="469">
      <c r="A469" t="inlineStr">
        <is>
          <t>T05-251201-113535</t>
        </is>
      </c>
      <c r="B469" t="inlineStr">
        <is>
          <t>2025-12-01</t>
        </is>
      </c>
      <c r="C469" t="inlineStr">
        <is>
          <t>18:41</t>
        </is>
      </c>
      <c r="D469" t="inlineStr">
        <is>
          <t>Magasin 5 — Kaya Marché</t>
        </is>
      </c>
      <c r="E469" t="inlineStr">
        <is>
          <t>Salamatu Sankara</t>
        </is>
      </c>
      <c r="F469" t="inlineStr">
        <is>
          <t>7357</t>
        </is>
      </c>
      <c r="G469" t="inlineStr">
        <is>
          <t>Clé plate 13 — réf 1</t>
        </is>
      </c>
      <c r="H469" t="inlineStr">
        <is>
          <t>Quincaillerie</t>
        </is>
      </c>
      <c r="I469" t="inlineStr">
        <is>
          <t>1</t>
        </is>
      </c>
      <c r="J469" t="inlineStr">
        <is>
          <t>9775</t>
        </is>
      </c>
      <c r="K469" t="inlineStr">
        <is>
          <t>0.04</t>
        </is>
      </c>
      <c r="L469" t="inlineStr">
        <is>
          <t>9384</t>
        </is>
      </c>
      <c r="M469" t="inlineStr">
        <is>
          <t>11 073</t>
        </is>
      </c>
    </row>
    <row r="470">
      <c r="A470" t="inlineStr">
        <is>
          <t>T05-251201-113536</t>
        </is>
      </c>
      <c r="B470" t="inlineStr">
        <is>
          <t>2025-12-01</t>
        </is>
      </c>
      <c r="C470" t="inlineStr">
        <is>
          <t>09:02</t>
        </is>
      </c>
      <c r="D470" t="inlineStr">
        <is>
          <t>Magasin 5 — Kaya Marché</t>
        </is>
      </c>
      <c r="E470" t="inlineStr">
        <is>
          <t>Moussa Ilboudo</t>
        </is>
      </c>
      <c r="F470" t="inlineStr">
        <is>
          <t>9327</t>
        </is>
      </c>
      <c r="G470" t="inlineStr">
        <is>
          <t>Sable de rivière (m3) — réf 1</t>
        </is>
      </c>
      <c r="H470" t="inlineStr">
        <is>
          <t>Matériaux</t>
        </is>
      </c>
      <c r="I470" t="inlineStr">
        <is>
          <t>7</t>
        </is>
      </c>
      <c r="J470" t="inlineStr">
        <is>
          <t>26325</t>
        </is>
      </c>
      <c r="K470" t="inlineStr">
        <is>
          <t>0.0</t>
        </is>
      </c>
      <c r="L470" t="inlineStr">
        <is>
          <t>184275</t>
        </is>
      </c>
      <c r="M470" t="inlineStr">
        <is>
          <t>217 445</t>
        </is>
      </c>
    </row>
    <row r="471">
      <c r="A471" t="inlineStr">
        <is>
          <t>T05-251201-113537</t>
        </is>
      </c>
      <c r="B471" t="inlineStr">
        <is>
          <t>2025-12-01</t>
        </is>
      </c>
      <c r="C471" t="inlineStr">
        <is>
          <t>18:39</t>
        </is>
      </c>
      <c r="D471" t="inlineStr">
        <is>
          <t>Magasin 5 — Kaya Marché</t>
        </is>
      </c>
      <c r="E471" t="inlineStr">
        <is>
          <t>Salamatu Sankara</t>
        </is>
      </c>
      <c r="F471" t="inlineStr">
        <is>
          <t>0</t>
        </is>
      </c>
      <c r="G471" t="inlineStr">
        <is>
          <t>Brouette 90 L — réf 1</t>
        </is>
      </c>
      <c r="H471" t="inlineStr">
        <is>
          <t>Consommables</t>
        </is>
      </c>
      <c r="I471" t="inlineStr">
        <is>
          <t>9</t>
        </is>
      </c>
      <c r="J471" t="inlineStr">
        <is>
          <t>4975</t>
        </is>
      </c>
      <c r="K471" t="inlineStr">
        <is>
          <t>0.0</t>
        </is>
      </c>
      <c r="L471" t="inlineStr">
        <is>
          <t>44775</t>
        </is>
      </c>
      <c r="M471" t="inlineStr">
        <is>
          <t>52 835</t>
        </is>
      </c>
    </row>
    <row r="472">
      <c r="A472" t="inlineStr">
        <is>
          <t>T05-251201-113538</t>
        </is>
      </c>
      <c r="B472" t="inlineStr">
        <is>
          <t>2025-12-01</t>
        </is>
      </c>
      <c r="C472" t="inlineStr">
        <is>
          <t>12:47</t>
        </is>
      </c>
      <c r="D472" t="inlineStr">
        <is>
          <t>Magasin 5 — Kaya Marché</t>
        </is>
      </c>
      <c r="E472" t="inlineStr">
        <is>
          <t>Boureima Ouédraogo</t>
        </is>
      </c>
      <c r="F472" t="inlineStr">
        <is>
          <t>2275</t>
        </is>
      </c>
      <c r="G472" t="inlineStr">
        <is>
          <t>Gants anti-coupure (paire) — réf 2</t>
        </is>
      </c>
      <c r="H472" t="inlineStr">
        <is>
          <t>Consommables</t>
        </is>
      </c>
      <c r="I472" t="inlineStr">
        <is>
          <t>7</t>
        </is>
      </c>
      <c r="J472" t="inlineStr">
        <is>
          <t>5250</t>
        </is>
      </c>
      <c r="K472" t="inlineStr">
        <is>
          <t>0.0</t>
        </is>
      </c>
      <c r="L472" t="inlineStr">
        <is>
          <t>36750</t>
        </is>
      </c>
      <c r="M472" t="inlineStr">
        <is>
          <t>43 365</t>
        </is>
      </c>
    </row>
    <row r="473">
      <c r="A473" t="inlineStr">
        <is>
          <t>T05-251201-113539</t>
        </is>
      </c>
      <c r="B473" t="inlineStr">
        <is>
          <t>2025-12-01</t>
        </is>
      </c>
      <c r="C473" t="inlineStr">
        <is>
          <t>07:08</t>
        </is>
      </c>
      <c r="D473" t="inlineStr">
        <is>
          <t>Magasin 5 — Kaya Marché</t>
        </is>
      </c>
      <c r="E473" t="inlineStr">
        <is>
          <t>Moussa Ilboudo</t>
        </is>
      </c>
      <c r="F473" t="inlineStr">
        <is>
          <t>0</t>
        </is>
      </c>
      <c r="G473" t="inlineStr">
        <is>
          <t>Peinture toiture 25 kg — réf 2</t>
        </is>
      </c>
      <c r="H473" t="inlineStr">
        <is>
          <t>Peinture</t>
        </is>
      </c>
      <c r="I473" t="inlineStr">
        <is>
          <t>49</t>
        </is>
      </c>
      <c r="J473" t="inlineStr">
        <is>
          <t>6025</t>
        </is>
      </c>
      <c r="K473" t="inlineStr">
        <is>
          <t>0.0</t>
        </is>
      </c>
      <c r="L473" t="inlineStr">
        <is>
          <t>295225</t>
        </is>
      </c>
      <c r="M473" t="inlineStr">
        <is>
          <t>348 365</t>
        </is>
      </c>
    </row>
    <row r="474">
      <c r="A474" t="inlineStr">
        <is>
          <t>T05-251201-113540</t>
        </is>
      </c>
      <c r="B474" t="inlineStr">
        <is>
          <t>2025-12-01</t>
        </is>
      </c>
      <c r="C474" t="inlineStr">
        <is>
          <t>12:20</t>
        </is>
      </c>
      <c r="D474" t="inlineStr">
        <is>
          <t>Magasin 5 — Kaya Marché</t>
        </is>
      </c>
      <c r="E474" t="inlineStr">
        <is>
          <t>Boureima Ouédraogo</t>
        </is>
      </c>
      <c r="F474" t="inlineStr">
        <is>
          <t>16625</t>
        </is>
      </c>
      <c r="G474" t="inlineStr">
        <is>
          <t>Lampe torche rechargeable — réf 2</t>
        </is>
      </c>
      <c r="H474" t="inlineStr">
        <is>
          <t>Electricité</t>
        </is>
      </c>
      <c r="I474" t="inlineStr">
        <is>
          <t>1</t>
        </is>
      </c>
      <c r="J474" t="inlineStr">
        <is>
          <t>20875</t>
        </is>
      </c>
      <c r="K474" t="inlineStr">
        <is>
          <t>0.0</t>
        </is>
      </c>
      <c r="L474" t="inlineStr">
        <is>
          <t>20875</t>
        </is>
      </c>
      <c r="M474" t="inlineStr">
        <is>
          <t>24 633</t>
        </is>
      </c>
    </row>
    <row r="475">
      <c r="A475" t="inlineStr">
        <is>
          <t>T05-251201-113541</t>
        </is>
      </c>
      <c r="B475" t="inlineStr">
        <is>
          <t>2025-12-01</t>
        </is>
      </c>
      <c r="C475" t="inlineStr">
        <is>
          <t>14:28</t>
        </is>
      </c>
      <c r="D475" t="inlineStr">
        <is>
          <t>Magasin 5 — Kaya Marché</t>
        </is>
      </c>
      <c r="E475" t="inlineStr">
        <is>
          <t>Moussa Ilboudo</t>
        </is>
      </c>
      <c r="F475" t="inlineStr">
        <is>
          <t>0</t>
        </is>
      </c>
      <c r="G475" t="inlineStr">
        <is>
          <t>Câble 2x1,5 (rouleau 100 m) — réf 1</t>
        </is>
      </c>
      <c r="H475" t="inlineStr">
        <is>
          <t>Electricité</t>
        </is>
      </c>
      <c r="I475" t="inlineStr">
        <is>
          <t>7</t>
        </is>
      </c>
      <c r="J475" t="inlineStr">
        <is>
          <t>12425</t>
        </is>
      </c>
      <c r="K475" t="inlineStr">
        <is>
          <t>0.0</t>
        </is>
      </c>
      <c r="L475" t="inlineStr">
        <is>
          <t>86975</t>
        </is>
      </c>
      <c r="M475" t="inlineStr">
        <is>
          <t>102 631</t>
        </is>
      </c>
    </row>
    <row r="476">
      <c r="A476" t="inlineStr">
        <is>
          <t>T05-251201-113542</t>
        </is>
      </c>
      <c r="B476" t="inlineStr">
        <is>
          <t>2025-12-01</t>
        </is>
      </c>
      <c r="C476" t="inlineStr">
        <is>
          <t>16:08</t>
        </is>
      </c>
      <c r="D476" t="inlineStr">
        <is>
          <t>Magasin 5 — Kaya Marché</t>
        </is>
      </c>
      <c r="E476" t="inlineStr">
        <is>
          <t>Adama Bationo</t>
        </is>
      </c>
      <c r="F476" t="inlineStr">
        <is>
          <t>2656</t>
        </is>
      </c>
      <c r="G476" t="inlineStr">
        <is>
          <t>Passe-câble étanche — réf 2</t>
        </is>
      </c>
      <c r="H476" t="inlineStr">
        <is>
          <t>Electricité</t>
        </is>
      </c>
      <c r="I476" t="inlineStr">
        <is>
          <t>3</t>
        </is>
      </c>
      <c r="J476" t="inlineStr">
        <is>
          <t>15975</t>
        </is>
      </c>
      <c r="K476" t="inlineStr">
        <is>
          <t>0.04</t>
        </is>
      </c>
      <c r="L476" t="inlineStr">
        <is>
          <t>46008</t>
        </is>
      </c>
      <c r="M476" t="inlineStr">
        <is>
          <t>54 289</t>
        </is>
      </c>
    </row>
    <row r="477">
      <c r="A477" t="inlineStr">
        <is>
          <t>T05-251201-113543</t>
        </is>
      </c>
      <c r="B477" t="inlineStr">
        <is>
          <t>2025-12-01</t>
        </is>
      </c>
      <c r="C477" t="inlineStr">
        <is>
          <t>18:35</t>
        </is>
      </c>
      <c r="D477" t="inlineStr">
        <is>
          <t>Magasin 5 — Kaya Marché</t>
        </is>
      </c>
      <c r="E477" t="inlineStr">
        <is>
          <t>Adama Bationo</t>
        </is>
      </c>
      <c r="F477" t="inlineStr">
        <is>
          <t>0</t>
        </is>
      </c>
      <c r="G477" t="inlineStr">
        <is>
          <t>Chaux aérienne 25 kg — réf 2</t>
        </is>
      </c>
      <c r="H477" t="inlineStr">
        <is>
          <t>Matériaux</t>
        </is>
      </c>
      <c r="I477" t="inlineStr">
        <is>
          <t>6</t>
        </is>
      </c>
      <c r="J477" t="inlineStr">
        <is>
          <t>8250</t>
        </is>
      </c>
      <c r="K477" t="inlineStr">
        <is>
          <t>0.0</t>
        </is>
      </c>
      <c r="L477" t="inlineStr">
        <is>
          <t>49500</t>
        </is>
      </c>
      <c r="M477" t="inlineStr">
        <is>
          <t>58 410</t>
        </is>
      </c>
    </row>
    <row r="478">
      <c r="A478" t="inlineStr">
        <is>
          <t>T05-251201-113544</t>
        </is>
      </c>
      <c r="B478" t="inlineStr">
        <is>
          <t>01/12/2025</t>
        </is>
      </c>
      <c r="C478" t="inlineStr">
        <is>
          <t>12:53</t>
        </is>
      </c>
      <c r="D478" t="inlineStr">
        <is>
          <t>Magasin 5 — Kaya Marché</t>
        </is>
      </c>
      <c r="E478" t="inlineStr">
        <is>
          <t>Salamatu Sankara</t>
        </is>
      </c>
      <c r="F478" t="inlineStr">
        <is>
          <t>7683</t>
        </is>
      </c>
      <c r="G478" t="inlineStr">
        <is>
          <t>Brouette en kit — réf 1</t>
        </is>
      </c>
      <c r="H478" t="inlineStr">
        <is>
          <t>Consommables</t>
        </is>
      </c>
      <c r="I478" t="inlineStr">
        <is>
          <t>8</t>
        </is>
      </c>
      <c r="J478" t="inlineStr">
        <is>
          <t>9225</t>
        </is>
      </c>
      <c r="K478" t="inlineStr">
        <is>
          <t>0.0</t>
        </is>
      </c>
      <c r="L478" t="inlineStr">
        <is>
          <t>73800</t>
        </is>
      </c>
      <c r="M478" t="inlineStr">
        <is>
          <t>87 084</t>
        </is>
      </c>
    </row>
    <row r="479">
      <c r="A479" t="inlineStr">
        <is>
          <t>T05-251201-113545</t>
        </is>
      </c>
      <c r="B479" t="inlineStr">
        <is>
          <t>2025-12-01</t>
        </is>
      </c>
      <c r="C479" t="inlineStr">
        <is>
          <t>12:30</t>
        </is>
      </c>
      <c r="D479" t="inlineStr">
        <is>
          <t>Magasin 5 — Kaya Marché</t>
        </is>
      </c>
      <c r="E479" t="inlineStr">
        <is>
          <t>Adama Bationo</t>
        </is>
      </c>
      <c r="F479" t="inlineStr">
        <is>
          <t>4660</t>
        </is>
      </c>
      <c r="G479" t="inlineStr">
        <is>
          <t>Robinet mitigeur évier — réf 1</t>
        </is>
      </c>
      <c r="H479" t="inlineStr">
        <is>
          <t>Plomberie</t>
        </is>
      </c>
      <c r="I479" t="inlineStr">
        <is>
          <t>18</t>
        </is>
      </c>
      <c r="J479" t="inlineStr">
        <is>
          <t>32400</t>
        </is>
      </c>
      <c r="K479" t="inlineStr">
        <is>
          <t>0.04</t>
        </is>
      </c>
      <c r="L479" t="inlineStr">
        <is>
          <t>559872</t>
        </is>
      </c>
      <c r="M479" t="inlineStr">
        <is>
          <t>660 649</t>
        </is>
      </c>
    </row>
    <row r="480">
      <c r="A480" t="inlineStr">
        <is>
          <t>T05-251202-113653</t>
        </is>
      </c>
      <c r="B480" t="inlineStr">
        <is>
          <t>02/12/2025</t>
        </is>
      </c>
      <c r="C480" t="inlineStr">
        <is>
          <t>14:21</t>
        </is>
      </c>
      <c r="D480" t="inlineStr">
        <is>
          <t>Magasin 5 — Kaya Marché</t>
        </is>
      </c>
      <c r="E480" t="inlineStr">
        <is>
          <t>Adama Bationo</t>
        </is>
      </c>
      <c r="F480" t="inlineStr">
        <is>
          <t>0</t>
        </is>
      </c>
      <c r="G480" t="inlineStr">
        <is>
          <t>Mastic d'étanchéité — réf 2</t>
        </is>
      </c>
      <c r="H480" t="inlineStr">
        <is>
          <t>Plomberie</t>
        </is>
      </c>
      <c r="I480" t="inlineStr">
        <is>
          <t>10</t>
        </is>
      </c>
      <c r="J480" t="inlineStr">
        <is>
          <t>4550</t>
        </is>
      </c>
      <c r="K480" t="inlineStr">
        <is>
          <t>0.0</t>
        </is>
      </c>
      <c r="L480" t="inlineStr">
        <is>
          <t>45500</t>
        </is>
      </c>
      <c r="M480" t="inlineStr">
        <is>
          <t>53 690</t>
        </is>
      </c>
    </row>
    <row r="481">
      <c r="A481" t="inlineStr">
        <is>
          <t>T05-251202-113653</t>
        </is>
      </c>
      <c r="B481" t="inlineStr">
        <is>
          <t>2025-12-02</t>
        </is>
      </c>
      <c r="C481" t="inlineStr">
        <is>
          <t>17:36</t>
        </is>
      </c>
      <c r="D481" t="inlineStr">
        <is>
          <t>Magasin 5 — Kaya Marché</t>
        </is>
      </c>
      <c r="E481" t="inlineStr">
        <is>
          <t>Adama Bationo</t>
        </is>
      </c>
      <c r="F481" t="inlineStr">
        <is>
          <t>15965</t>
        </is>
      </c>
      <c r="G481" t="inlineStr">
        <is>
          <t>Enduit de lissage 20 kg — réf 2</t>
        </is>
      </c>
      <c r="H481" t="inlineStr">
        <is>
          <t>Matériaux</t>
        </is>
      </c>
      <c r="I481" t="inlineStr">
        <is>
          <t>5</t>
        </is>
      </c>
      <c r="J481" t="inlineStr">
        <is>
          <t>6575</t>
        </is>
      </c>
      <c r="K481" t="inlineStr">
        <is>
          <t>0.08</t>
        </is>
      </c>
      <c r="L481" t="inlineStr">
        <is>
          <t>30245</t>
        </is>
      </c>
      <c r="M481" t="inlineStr">
        <is>
          <t>35 689</t>
        </is>
      </c>
    </row>
    <row r="482">
      <c r="A482" t="inlineStr">
        <is>
          <t>T05-251202-113653</t>
        </is>
      </c>
      <c r="B482" t="inlineStr">
        <is>
          <t>2025-12-02</t>
        </is>
      </c>
      <c r="C482" t="inlineStr">
        <is>
          <t>08:17</t>
        </is>
      </c>
      <c r="D482" t="inlineStr">
        <is>
          <t>Magasin 5 — Kaya Marché</t>
        </is>
      </c>
      <c r="E482" t="inlineStr">
        <is>
          <t>Boureima Ouédraogo</t>
        </is>
      </c>
      <c r="F482" t="inlineStr">
        <is>
          <t>20401</t>
        </is>
      </c>
      <c r="G482" t="inlineStr">
        <is>
          <t>Cheville nylon 8 mm (sachet) — réf 1</t>
        </is>
      </c>
      <c r="H482" t="inlineStr">
        <is>
          <t>Quincaillerie</t>
        </is>
      </c>
      <c r="I482" t="inlineStr">
        <is>
          <t>5</t>
        </is>
      </c>
      <c r="J482" t="inlineStr">
        <is>
          <t>2500</t>
        </is>
      </c>
      <c r="K482" t="inlineStr">
        <is>
          <t>0.0</t>
        </is>
      </c>
      <c r="L482" t="inlineStr">
        <is>
          <t>12500</t>
        </is>
      </c>
      <c r="M482" t="inlineStr">
        <is>
          <t>14 750</t>
        </is>
      </c>
    </row>
    <row r="483">
      <c r="A483" t="inlineStr">
        <is>
          <t>T05-251202-113654</t>
        </is>
      </c>
      <c r="B483" t="inlineStr">
        <is>
          <t>02/12/2025</t>
        </is>
      </c>
      <c r="C483" t="inlineStr">
        <is>
          <t>18:53</t>
        </is>
      </c>
      <c r="D483" t="inlineStr">
        <is>
          <t>Magasin 5 — Kaya Marché</t>
        </is>
      </c>
      <c r="E483" t="inlineStr">
        <is>
          <t>Moussa Ilboudo</t>
        </is>
      </c>
      <c r="F483" t="inlineStr">
        <is>
          <t>6619</t>
        </is>
      </c>
      <c r="G483" t="inlineStr">
        <is>
          <t>Casque de chantier — réf 1</t>
        </is>
      </c>
      <c r="H483" t="inlineStr">
        <is>
          <t>Consommables</t>
        </is>
      </c>
      <c r="I483" t="inlineStr">
        <is>
          <t>2</t>
        </is>
      </c>
      <c r="J483" t="inlineStr">
        <is>
          <t>8575</t>
        </is>
      </c>
      <c r="K483" t="inlineStr">
        <is>
          <t>0.04</t>
        </is>
      </c>
      <c r="L483" t="inlineStr">
        <is>
          <t>16464</t>
        </is>
      </c>
      <c r="M483" t="inlineStr">
        <is>
          <t>19 428</t>
        </is>
      </c>
    </row>
    <row r="484">
      <c r="A484" t="inlineStr">
        <is>
          <t>T05-251202-113654</t>
        </is>
      </c>
      <c r="B484" t="inlineStr">
        <is>
          <t>2025-12-02</t>
        </is>
      </c>
      <c r="C484" t="inlineStr">
        <is>
          <t>07:22</t>
        </is>
      </c>
      <c r="D484" t="inlineStr">
        <is>
          <t>Magasin 5 — Kaya Marché</t>
        </is>
      </c>
      <c r="E484" t="inlineStr">
        <is>
          <t>Salamatu Sankara</t>
        </is>
      </c>
      <c r="F484" t="inlineStr">
        <is>
          <t>3800</t>
        </is>
      </c>
      <c r="G484" t="inlineStr">
        <is>
          <t>Brique de terre cuite — réf 2</t>
        </is>
      </c>
      <c r="H484" t="inlineStr">
        <is>
          <t>Matériaux</t>
        </is>
      </c>
      <c r="I484" t="inlineStr">
        <is>
          <t>3</t>
        </is>
      </c>
      <c r="J484" t="inlineStr">
        <is>
          <t>700</t>
        </is>
      </c>
      <c r="K484" t="inlineStr">
        <is>
          <t>0.0</t>
        </is>
      </c>
      <c r="L484" t="inlineStr">
        <is>
          <t>2100</t>
        </is>
      </c>
      <c r="M484" t="inlineStr">
        <is>
          <t>2 478</t>
        </is>
      </c>
    </row>
    <row r="485">
      <c r="A485" t="inlineStr">
        <is>
          <t>T05-251202-113655</t>
        </is>
      </c>
      <c r="B485" t="inlineStr">
        <is>
          <t>02/12/2025</t>
        </is>
      </c>
      <c r="C485" t="inlineStr">
        <is>
          <t>13:54</t>
        </is>
      </c>
      <c r="D485" t="inlineStr">
        <is>
          <t>Magasin 5 — Kaya Marché</t>
        </is>
      </c>
      <c r="E485" t="inlineStr">
        <is>
          <t>Boureima Ouédraogo</t>
        </is>
      </c>
      <c r="F485" t="inlineStr">
        <is>
          <t>13724</t>
        </is>
      </c>
      <c r="G485" t="inlineStr">
        <is>
          <t>Plâtre de construction 25 kg — réf 2</t>
        </is>
      </c>
      <c r="H485" t="inlineStr">
        <is>
          <t>Matériaux</t>
        </is>
      </c>
      <c r="I485" t="inlineStr">
        <is>
          <t>2</t>
        </is>
      </c>
      <c r="J485" t="inlineStr">
        <is>
          <t>5950</t>
        </is>
      </c>
      <c r="K485" t="inlineStr">
        <is>
          <t>0.0</t>
        </is>
      </c>
      <c r="L485" t="inlineStr">
        <is>
          <t>11900</t>
        </is>
      </c>
      <c r="M485" t="inlineStr">
        <is>
          <t>14 042</t>
        </is>
      </c>
    </row>
    <row r="486">
      <c r="A486" t="inlineStr">
        <is>
          <t>T05-251202-113655</t>
        </is>
      </c>
      <c r="B486" t="inlineStr">
        <is>
          <t>02/12/2025</t>
        </is>
      </c>
      <c r="C486" t="inlineStr">
        <is>
          <t>14:31</t>
        </is>
      </c>
      <c r="D486" t="inlineStr">
        <is>
          <t>Magasin 5 — Kaya Marché</t>
        </is>
      </c>
      <c r="E486" t="inlineStr">
        <is>
          <t>Salamatu Sankara</t>
        </is>
      </c>
      <c r="F486" t="inlineStr">
        <is>
          <t>3969</t>
        </is>
      </c>
      <c r="G486" t="inlineStr">
        <is>
          <t>Gravier 15/25 (m3) — réf 1</t>
        </is>
      </c>
      <c r="H486" t="inlineStr">
        <is>
          <t>Matériaux</t>
        </is>
      </c>
      <c r="I486" t="inlineStr">
        <is>
          <t>4</t>
        </is>
      </c>
      <c r="J486" t="inlineStr">
        <is>
          <t>31125</t>
        </is>
      </c>
      <c r="K486" t="inlineStr">
        <is>
          <t>0.04</t>
        </is>
      </c>
      <c r="L486" t="inlineStr">
        <is>
          <t>119520</t>
        </is>
      </c>
      <c r="M486" t="inlineStr">
        <is>
          <t>141 034</t>
        </is>
      </c>
    </row>
    <row r="487">
      <c r="A487" t="inlineStr">
        <is>
          <t>T05-251202-113656</t>
        </is>
      </c>
      <c r="B487" t="inlineStr">
        <is>
          <t>2025-12-02</t>
        </is>
      </c>
      <c r="C487" t="inlineStr">
        <is>
          <t>08:36</t>
        </is>
      </c>
      <c r="D487" t="inlineStr">
        <is>
          <t>Magasin 5 — Kaya Marché</t>
        </is>
      </c>
      <c r="E487" t="inlineStr">
        <is>
          <t>Salamatu Sankara</t>
        </is>
      </c>
      <c r="F487" t="inlineStr">
        <is>
          <t>14287</t>
        </is>
      </c>
      <c r="G487" t="inlineStr">
        <is>
          <t>Casque de chantier — réf 2</t>
        </is>
      </c>
      <c r="H487" t="inlineStr">
        <is>
          <t>Consommables</t>
        </is>
      </c>
      <c r="I487" t="inlineStr">
        <is>
          <t>4</t>
        </is>
      </c>
      <c r="J487" t="inlineStr">
        <is>
          <t>5350</t>
        </is>
      </c>
      <c r="K487" t="inlineStr">
        <is>
          <t>0.0</t>
        </is>
      </c>
      <c r="L487" t="inlineStr">
        <is>
          <t>21400</t>
        </is>
      </c>
      <c r="M487" t="inlineStr">
        <is>
          <t>25 252</t>
        </is>
      </c>
    </row>
    <row r="488">
      <c r="A488" t="inlineStr">
        <is>
          <t>T05-251202-113656</t>
        </is>
      </c>
      <c r="B488" t="inlineStr">
        <is>
          <t>2025-12-02</t>
        </is>
      </c>
      <c r="C488" t="inlineStr">
        <is>
          <t>12:53</t>
        </is>
      </c>
      <c r="D488" t="inlineStr">
        <is>
          <t>Magasin 5 — Kaya Marché</t>
        </is>
      </c>
      <c r="E488" t="inlineStr">
        <is>
          <t>Salamatu Sankara</t>
        </is>
      </c>
      <c r="F488" t="inlineStr">
        <is>
          <t>5921</t>
        </is>
      </c>
      <c r="G488" t="inlineStr">
        <is>
          <t>Clé plate 13 — réf 1</t>
        </is>
      </c>
      <c r="H488" t="inlineStr">
        <is>
          <t>Quincaillerie</t>
        </is>
      </c>
      <c r="I488" t="inlineStr">
        <is>
          <t>4</t>
        </is>
      </c>
      <c r="J488" t="inlineStr">
        <is>
          <t>9900</t>
        </is>
      </c>
      <c r="K488" t="inlineStr">
        <is>
          <t>0.03</t>
        </is>
      </c>
      <c r="L488" t="inlineStr">
        <is>
          <t>38412</t>
        </is>
      </c>
      <c r="M488" t="inlineStr">
        <is>
          <t>45 326</t>
        </is>
      </c>
    </row>
    <row r="489">
      <c r="A489" t="inlineStr">
        <is>
          <t>T05-251202-113657</t>
        </is>
      </c>
      <c r="B489" t="inlineStr">
        <is>
          <t>2025-12-02</t>
        </is>
      </c>
      <c r="C489" t="inlineStr">
        <is>
          <t>11:20</t>
        </is>
      </c>
      <c r="D489" t="inlineStr">
        <is>
          <t>Magasin 5 — Kaya Marché</t>
        </is>
      </c>
      <c r="E489" t="inlineStr">
        <is>
          <t>Adama Bationo</t>
        </is>
      </c>
      <c r="F489" t="inlineStr">
        <is>
          <t>20693</t>
        </is>
      </c>
      <c r="G489" t="inlineStr">
        <is>
          <t>Enduit de rebouchage 5 kg — réf 2</t>
        </is>
      </c>
      <c r="H489" t="inlineStr">
        <is>
          <t>Peinture</t>
        </is>
      </c>
      <c r="I489" t="inlineStr">
        <is>
          <t>36</t>
        </is>
      </c>
      <c r="J489" t="inlineStr">
        <is>
          <t>4900</t>
        </is>
      </c>
      <c r="K489" t="inlineStr">
        <is>
          <t>0.0</t>
        </is>
      </c>
      <c r="L489" t="inlineStr">
        <is>
          <t>176400</t>
        </is>
      </c>
      <c r="M489" t="inlineStr">
        <is>
          <t>208 152</t>
        </is>
      </c>
    </row>
    <row r="490">
      <c r="A490" t="inlineStr">
        <is>
          <t>T05-251202-113657</t>
        </is>
      </c>
      <c r="B490" t="inlineStr">
        <is>
          <t>2025-12-02</t>
        </is>
      </c>
      <c r="C490" t="inlineStr">
        <is>
          <t>07:28</t>
        </is>
      </c>
      <c r="D490" t="inlineStr">
        <is>
          <t>Magasin 5 — Kaya Marché</t>
        </is>
      </c>
      <c r="E490" t="inlineStr">
        <is>
          <t>Salamatu Sankara</t>
        </is>
      </c>
      <c r="F490" t="inlineStr">
        <is>
          <t>0</t>
        </is>
      </c>
      <c r="G490" t="inlineStr">
        <is>
          <t>Sac de transport 100 kg — réf 2</t>
        </is>
      </c>
      <c r="H490" t="inlineStr">
        <is>
          <t>Consommables</t>
        </is>
      </c>
      <c r="I490" t="inlineStr">
        <is>
          <t>2</t>
        </is>
      </c>
      <c r="J490" t="inlineStr">
        <is>
          <t>7550</t>
        </is>
      </c>
      <c r="K490" t="inlineStr">
        <is>
          <t>0.0</t>
        </is>
      </c>
      <c r="L490" t="inlineStr">
        <is>
          <t>15100</t>
        </is>
      </c>
      <c r="M490" t="inlineStr">
        <is>
          <t>17 818</t>
        </is>
      </c>
    </row>
  </sheetData>
  <autoFilter ref="A1:M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7" customWidth="1" min="3" max="3"/>
    <col width="26" customWidth="1" min="4" max="4"/>
    <col width="20" customWidth="1" min="5" max="5"/>
    <col width="8" customWidth="1" min="6" max="6"/>
    <col width="40" customWidth="1" min="7" max="7"/>
    <col width="14" customWidth="1" min="8" max="8"/>
    <col width="9" customWidth="1" min="9" max="9"/>
    <col width="13" customWidth="1" min="10" max="10"/>
    <col width="8" customWidth="1" min="11" max="11"/>
    <col width="12" customWidth="1" min="12" max="12"/>
    <col width="13" customWidth="1" min="13" max="13"/>
  </cols>
  <sheetData>
    <row r="1">
      <c r="A1" s="3" t="inlineStr">
        <is>
          <t>n_ticket</t>
        </is>
      </c>
      <c r="B1" s="3" t="inlineStr">
        <is>
          <t>date</t>
        </is>
      </c>
      <c r="C1" s="3" t="inlineStr">
        <is>
          <t>heure</t>
        </is>
      </c>
      <c r="D1" s="3" t="inlineStr">
        <is>
          <t>magasin</t>
        </is>
      </c>
      <c r="E1" s="3" t="inlineStr">
        <is>
          <t>vendeur</t>
        </is>
      </c>
      <c r="F1" s="3" t="inlineStr">
        <is>
          <t>client</t>
        </is>
      </c>
      <c r="G1" s="3" t="inlineStr">
        <is>
          <t>produit</t>
        </is>
      </c>
      <c r="H1" s="3" t="inlineStr">
        <is>
          <t>categorie</t>
        </is>
      </c>
      <c r="I1" s="3" t="inlineStr">
        <is>
          <t>quantite</t>
        </is>
      </c>
      <c r="J1" s="3" t="inlineStr">
        <is>
          <t>prix_unitaire_ht</t>
        </is>
      </c>
      <c r="K1" s="3" t="inlineStr">
        <is>
          <t>remise</t>
        </is>
      </c>
      <c r="L1" s="3" t="inlineStr">
        <is>
          <t>montant_ht</t>
        </is>
      </c>
      <c r="M1" s="3" t="inlineStr">
        <is>
          <t>montant_ttc</t>
        </is>
      </c>
      <c r="N1" s="1" t="inlineStr">
        <is>
          <t>montant recalculé (colonne utilitaire)</t>
        </is>
      </c>
    </row>
    <row r="2">
      <c r="A2" t="inlineStr">
        <is>
          <t>T05-250101-075845</t>
        </is>
      </c>
      <c r="B2" s="4" t="n">
        <v>45658</v>
      </c>
      <c r="C2" t="inlineStr">
        <is>
          <t>11:01</t>
        </is>
      </c>
      <c r="D2" t="inlineStr">
        <is>
          <t>Magasin 5 — Kaya Marché</t>
        </is>
      </c>
      <c r="E2" t="inlineStr">
        <is>
          <t>Moussa Ilboudo</t>
        </is>
      </c>
      <c r="F2" t="n">
        <v>10857</v>
      </c>
      <c r="G2" t="inlineStr">
        <is>
          <t>Plâtre de construction 25 kg — réf 1</t>
        </is>
      </c>
      <c r="H2" t="inlineStr">
        <is>
          <t>Matériaux</t>
        </is>
      </c>
      <c r="I2" t="n">
        <v>11</v>
      </c>
      <c r="J2" s="5" t="n">
        <v>4500</v>
      </c>
      <c r="K2" s="6" t="n">
        <v>0.03</v>
      </c>
      <c r="L2" s="5" t="n">
        <v>48015</v>
      </c>
      <c r="M2" s="5" t="n">
        <v>56658</v>
      </c>
      <c r="N2" s="5">
        <f>ROUND(I2*J2*(1-K2),0)</f>
        <v/>
      </c>
    </row>
    <row r="3">
      <c r="A3" t="inlineStr">
        <is>
          <t>T05-250101-075846</t>
        </is>
      </c>
      <c r="B3" s="4" t="n">
        <v>45658</v>
      </c>
      <c r="C3" t="inlineStr">
        <is>
          <t>09:32</t>
        </is>
      </c>
      <c r="D3" t="inlineStr">
        <is>
          <t>Magasin 5 — Kaya Marché</t>
        </is>
      </c>
      <c r="E3" t="inlineStr">
        <is>
          <t>Salamatu Sankara</t>
        </is>
      </c>
      <c r="F3" t="n">
        <v>0</v>
      </c>
      <c r="G3" t="inlineStr">
        <is>
          <t>Gravier 15/25 (m3) — réf 2</t>
        </is>
      </c>
      <c r="H3" t="inlineStr">
        <is>
          <t>Matériaux</t>
        </is>
      </c>
      <c r="I3" t="n">
        <v>2</v>
      </c>
      <c r="J3" s="5" t="n">
        <v>21950</v>
      </c>
      <c r="K3" s="6" t="n">
        <v>0</v>
      </c>
      <c r="L3" s="5" t="n">
        <v>43900</v>
      </c>
      <c r="M3" s="5" t="n">
        <v>51802</v>
      </c>
      <c r="N3" s="5">
        <f>ROUND(I3*J3*(1-K3),0)</f>
        <v/>
      </c>
    </row>
    <row r="4">
      <c r="A4" t="inlineStr">
        <is>
          <t>T05-250101-075847</t>
        </is>
      </c>
      <c r="B4" s="4" t="n">
        <v>45658</v>
      </c>
      <c r="C4" t="inlineStr">
        <is>
          <t>07:51</t>
        </is>
      </c>
      <c r="D4" t="inlineStr">
        <is>
          <t>Magasin 5 — Kaya Marché</t>
        </is>
      </c>
      <c r="E4" t="inlineStr">
        <is>
          <t>Salamatu Sankara</t>
        </is>
      </c>
      <c r="F4" t="n">
        <v>17552</v>
      </c>
      <c r="G4" t="inlineStr">
        <is>
          <t>Sable de rivière (m3) — réf 1</t>
        </is>
      </c>
      <c r="H4" t="inlineStr">
        <is>
          <t>Matériaux</t>
        </is>
      </c>
      <c r="I4" t="n">
        <v>2</v>
      </c>
      <c r="J4" s="5" t="n">
        <v>25775</v>
      </c>
      <c r="K4" s="6" t="n">
        <v>0.04</v>
      </c>
      <c r="L4" s="5" t="n">
        <v>49488</v>
      </c>
      <c r="M4" s="5" t="n">
        <v>58396</v>
      </c>
      <c r="N4" s="5">
        <f>ROUND(I4*J4*(1-K4),0)</f>
        <v/>
      </c>
    </row>
    <row r="5">
      <c r="A5" t="inlineStr">
        <is>
          <t>T05-250101-075848</t>
        </is>
      </c>
      <c r="B5" s="4" t="n">
        <v>45658</v>
      </c>
      <c r="C5" t="inlineStr">
        <is>
          <t>15:17</t>
        </is>
      </c>
      <c r="D5" t="inlineStr">
        <is>
          <t>Magasin 5 — Kaya Marché</t>
        </is>
      </c>
      <c r="E5" t="inlineStr">
        <is>
          <t>Adama Bationo</t>
        </is>
      </c>
      <c r="F5" t="n">
        <v>2150</v>
      </c>
      <c r="G5" t="inlineStr">
        <is>
          <t>Échelle aluminium 4 marches — réf 1</t>
        </is>
      </c>
      <c r="H5" t="inlineStr">
        <is>
          <t>Consommables</t>
        </is>
      </c>
      <c r="I5" t="n">
        <v>6</v>
      </c>
      <c r="J5" s="5" t="n">
        <v>8275</v>
      </c>
      <c r="K5" s="6" t="n">
        <v>0</v>
      </c>
      <c r="L5" s="5" t="n">
        <v>49650</v>
      </c>
      <c r="M5" s="5" t="n">
        <v>58587</v>
      </c>
      <c r="N5" s="5">
        <f>ROUND(I5*J5*(1-K5),0)</f>
        <v/>
      </c>
    </row>
    <row r="6">
      <c r="A6" t="inlineStr">
        <is>
          <t>T05-250101-075849</t>
        </is>
      </c>
      <c r="B6" s="4" t="n">
        <v>45658</v>
      </c>
      <c r="C6" t="inlineStr">
        <is>
          <t>10:33</t>
        </is>
      </c>
      <c r="D6" t="inlineStr">
        <is>
          <t>Magasin 5 — Kaya Marché</t>
        </is>
      </c>
      <c r="E6" t="inlineStr">
        <is>
          <t>Adama Bationo</t>
        </is>
      </c>
      <c r="F6" t="n">
        <v>0</v>
      </c>
      <c r="G6" t="inlineStr">
        <is>
          <t>Sable de rivière (m3) — réf 1</t>
        </is>
      </c>
      <c r="H6" t="inlineStr">
        <is>
          <t>Matériaux</t>
        </is>
      </c>
      <c r="I6" t="n">
        <v>3</v>
      </c>
      <c r="J6" s="5" t="n">
        <v>26325</v>
      </c>
      <c r="K6" s="6" t="n">
        <v>0</v>
      </c>
      <c r="L6" s="5" t="n">
        <v>78975</v>
      </c>
      <c r="M6" s="5" t="n">
        <v>93191</v>
      </c>
      <c r="N6" s="5">
        <f>ROUND(I6*J6*(1-K6),0)</f>
        <v/>
      </c>
    </row>
    <row r="7">
      <c r="A7" t="inlineStr">
        <is>
          <t>T05-250101-075850</t>
        </is>
      </c>
      <c r="B7" s="4" t="n">
        <v>45658</v>
      </c>
      <c r="C7" t="inlineStr">
        <is>
          <t>18:08</t>
        </is>
      </c>
      <c r="D7" t="inlineStr">
        <is>
          <t>Magasin 5 — Kaya Marché</t>
        </is>
      </c>
      <c r="E7" t="inlineStr">
        <is>
          <t>Moussa Ilboudo</t>
        </is>
      </c>
      <c r="F7" t="n">
        <v>0</v>
      </c>
      <c r="G7" t="inlineStr">
        <is>
          <t>Ciment CPJ45 50 kg — réf 2</t>
        </is>
      </c>
      <c r="H7" t="inlineStr">
        <is>
          <t>Matériaux</t>
        </is>
      </c>
      <c r="I7" t="n">
        <v>12</v>
      </c>
      <c r="J7" s="5" t="n">
        <v>6550</v>
      </c>
      <c r="K7" s="6" t="n">
        <v>0</v>
      </c>
      <c r="L7" s="5" t="n">
        <v>78600</v>
      </c>
      <c r="M7" s="5" t="n">
        <v>92748</v>
      </c>
      <c r="N7" s="5">
        <f>ROUND(I7*J7*(1-K7),0)</f>
        <v/>
      </c>
    </row>
    <row r="8">
      <c r="A8" t="inlineStr">
        <is>
          <t>T05-250101-075851</t>
        </is>
      </c>
      <c r="B8" s="4" t="n">
        <v>45658</v>
      </c>
      <c r="C8" t="inlineStr">
        <is>
          <t>13:22</t>
        </is>
      </c>
      <c r="D8" t="inlineStr">
        <is>
          <t>Magasin 5 — Kaya Marché</t>
        </is>
      </c>
      <c r="E8" t="inlineStr">
        <is>
          <t>Adama Bationo</t>
        </is>
      </c>
      <c r="F8" t="n">
        <v>10176</v>
      </c>
      <c r="G8" t="inlineStr">
        <is>
          <t>Hourdis creux 12 — réf 1</t>
        </is>
      </c>
      <c r="H8" t="inlineStr">
        <is>
          <t>Matériaux</t>
        </is>
      </c>
      <c r="I8" t="n">
        <v>6</v>
      </c>
      <c r="J8" s="5" t="n">
        <v>1025</v>
      </c>
      <c r="K8" s="6" t="n">
        <v>0</v>
      </c>
      <c r="L8" s="5" t="n">
        <v>6150</v>
      </c>
      <c r="M8" s="5" t="n">
        <v>7257</v>
      </c>
      <c r="N8" s="5">
        <f>ROUND(I8*J8*(1-K8),0)</f>
        <v/>
      </c>
    </row>
    <row r="9">
      <c r="A9" t="inlineStr">
        <is>
          <t>T05-250101-075852</t>
        </is>
      </c>
      <c r="B9" s="4" t="n">
        <v>45658</v>
      </c>
      <c r="C9" t="inlineStr">
        <is>
          <t>08:17</t>
        </is>
      </c>
      <c r="D9" t="inlineStr">
        <is>
          <t>Magasin 5 — Kaya Marché</t>
        </is>
      </c>
      <c r="E9" t="inlineStr">
        <is>
          <t>Boureima Ouédraogo</t>
        </is>
      </c>
      <c r="F9" t="n">
        <v>11417</v>
      </c>
      <c r="G9" t="inlineStr">
        <is>
          <t>Meuleuse 125 mm — réf 2</t>
        </is>
      </c>
      <c r="H9" t="inlineStr">
        <is>
          <t>Quincaillerie</t>
        </is>
      </c>
      <c r="I9" t="n">
        <v>9</v>
      </c>
      <c r="J9" s="5" t="n">
        <v>5850</v>
      </c>
      <c r="K9" s="6" t="n">
        <v>0</v>
      </c>
      <c r="L9" s="5" t="n">
        <v>52650</v>
      </c>
      <c r="M9" s="5" t="n">
        <v>62127</v>
      </c>
      <c r="N9" s="5">
        <f>ROUND(I9*J9*(1-K9),0)</f>
        <v/>
      </c>
    </row>
    <row r="10">
      <c r="A10" t="inlineStr">
        <is>
          <t>T05-250101-075853</t>
        </is>
      </c>
      <c r="B10" s="4" t="n">
        <v>45658</v>
      </c>
      <c r="C10" t="inlineStr">
        <is>
          <t>16:15</t>
        </is>
      </c>
      <c r="D10" t="inlineStr">
        <is>
          <t>Magasin 5 — Kaya Marché</t>
        </is>
      </c>
      <c r="E10" t="inlineStr">
        <is>
          <t>Salamatu Sankara</t>
        </is>
      </c>
      <c r="F10" t="n">
        <v>1519</v>
      </c>
      <c r="G10" t="inlineStr">
        <is>
          <t>Fil de fer recuit (kg) — réf 2</t>
        </is>
      </c>
      <c r="H10" t="inlineStr">
        <is>
          <t>Quincaillerie</t>
        </is>
      </c>
      <c r="I10" t="n">
        <v>3</v>
      </c>
      <c r="J10" s="5" t="n">
        <v>2000</v>
      </c>
      <c r="K10" s="6" t="n">
        <v>0.04</v>
      </c>
      <c r="L10" s="5" t="n">
        <v>5760</v>
      </c>
      <c r="M10" s="5" t="n">
        <v>6797</v>
      </c>
      <c r="N10" s="5">
        <f>ROUND(I10*J10*(1-K10),0)</f>
        <v/>
      </c>
    </row>
    <row r="11">
      <c r="A11" t="inlineStr">
        <is>
          <t>T05-250101-075854</t>
        </is>
      </c>
      <c r="B11" s="4" t="n">
        <v>45658</v>
      </c>
      <c r="C11" t="inlineStr">
        <is>
          <t>08:21</t>
        </is>
      </c>
      <c r="D11" t="inlineStr">
        <is>
          <t>Magasin 5 — Kaya Marché</t>
        </is>
      </c>
      <c r="E11" t="inlineStr">
        <is>
          <t>Salamatu Sankara</t>
        </is>
      </c>
      <c r="F11" t="n">
        <v>6969</v>
      </c>
      <c r="G11" t="inlineStr">
        <is>
          <t>Casque de chantier — réf 1</t>
        </is>
      </c>
      <c r="H11" t="inlineStr">
        <is>
          <t>Consommables</t>
        </is>
      </c>
      <c r="I11" t="n">
        <v>2</v>
      </c>
      <c r="J11" s="5" t="n">
        <v>8300</v>
      </c>
      <c r="K11" s="6" t="n">
        <v>0</v>
      </c>
      <c r="L11" s="5" t="n">
        <v>16600</v>
      </c>
      <c r="M11" s="5" t="n">
        <v>19588</v>
      </c>
      <c r="N11" s="5">
        <f>ROUND(I11*J11*(1-K11),0)</f>
        <v/>
      </c>
    </row>
    <row r="12">
      <c r="A12" t="inlineStr">
        <is>
          <t>T05-250101-075855</t>
        </is>
      </c>
      <c r="B12" s="4" t="n">
        <v>45658</v>
      </c>
      <c r="C12" t="inlineStr">
        <is>
          <t>15:35</t>
        </is>
      </c>
      <c r="D12" t="inlineStr">
        <is>
          <t>Magasin 5 — Kaya Marché</t>
        </is>
      </c>
      <c r="E12" t="inlineStr">
        <is>
          <t>Boureima Ouédraogo</t>
        </is>
      </c>
      <c r="F12" t="n">
        <v>17857</v>
      </c>
      <c r="G12" t="inlineStr">
        <is>
          <t>Sac de transport 100 kg — réf 1</t>
        </is>
      </c>
      <c r="H12" t="inlineStr">
        <is>
          <t>Consommables</t>
        </is>
      </c>
      <c r="I12" t="n">
        <v>2</v>
      </c>
      <c r="J12" s="5" t="n">
        <v>8525</v>
      </c>
      <c r="K12" s="6" t="n">
        <v>0.07000000000000001</v>
      </c>
      <c r="L12" s="5" t="n">
        <v>15856</v>
      </c>
      <c r="M12" s="5" t="n">
        <v>18710</v>
      </c>
      <c r="N12" s="5">
        <f>ROUND(I12*J12*(1-K12),0)</f>
        <v/>
      </c>
    </row>
    <row r="13">
      <c r="A13" t="inlineStr">
        <is>
          <t>T05-250101-075856</t>
        </is>
      </c>
      <c r="B13" s="4" t="n">
        <v>45658</v>
      </c>
      <c r="C13" t="inlineStr">
        <is>
          <t>07:27</t>
        </is>
      </c>
      <c r="D13" t="inlineStr">
        <is>
          <t>Magasin 5 — Kaya Marché</t>
        </is>
      </c>
      <c r="E13" t="inlineStr">
        <is>
          <t>Boureima Ouédraogo</t>
        </is>
      </c>
      <c r="F13" t="n">
        <v>17861</v>
      </c>
      <c r="G13" t="inlineStr">
        <is>
          <t>Hourdis creux 12 — réf 1</t>
        </is>
      </c>
      <c r="H13" t="inlineStr">
        <is>
          <t>Matériaux</t>
        </is>
      </c>
      <c r="I13" t="n">
        <v>8</v>
      </c>
      <c r="J13" s="5" t="n">
        <v>1075</v>
      </c>
      <c r="K13" s="6" t="n">
        <v>0</v>
      </c>
      <c r="L13" s="5" t="n">
        <v>8600</v>
      </c>
      <c r="M13" s="5" t="n">
        <v>10148</v>
      </c>
      <c r="N13" s="5">
        <f>ROUND(I13*J13*(1-K13),0)</f>
        <v/>
      </c>
    </row>
    <row r="14">
      <c r="A14" t="inlineStr">
        <is>
          <t>T05-250101-075857</t>
        </is>
      </c>
      <c r="B14" s="4" t="n">
        <v>45658</v>
      </c>
      <c r="C14" t="inlineStr">
        <is>
          <t>18:25</t>
        </is>
      </c>
      <c r="D14" t="inlineStr">
        <is>
          <t>Magasin 5 — Kaya Marché</t>
        </is>
      </c>
      <c r="E14" t="inlineStr">
        <is>
          <t>Boureima Ouédraogo</t>
        </is>
      </c>
      <c r="F14" t="n">
        <v>19433</v>
      </c>
      <c r="G14" t="inlineStr">
        <is>
          <t>Coude PVC 90° 100 — réf 1</t>
        </is>
      </c>
      <c r="H14" t="inlineStr">
        <is>
          <t>Plomberie</t>
        </is>
      </c>
      <c r="I14" t="n">
        <v>4</v>
      </c>
      <c r="J14" s="5" t="n">
        <v>4075</v>
      </c>
      <c r="K14" s="6" t="n">
        <v>0.03</v>
      </c>
      <c r="L14" s="5" t="n">
        <v>15811</v>
      </c>
      <c r="M14" s="5" t="n">
        <v>18657</v>
      </c>
      <c r="N14" s="5">
        <f>ROUND(I14*J14*(1-K14),0)</f>
        <v/>
      </c>
    </row>
    <row r="15">
      <c r="A15" t="inlineStr">
        <is>
          <t>T05-250101-075858</t>
        </is>
      </c>
      <c r="B15" s="4" t="n">
        <v>45658</v>
      </c>
      <c r="C15" t="inlineStr">
        <is>
          <t>12:00</t>
        </is>
      </c>
      <c r="D15" t="inlineStr">
        <is>
          <t>Magasin 5 — Kaya Marché</t>
        </is>
      </c>
      <c r="E15" t="inlineStr">
        <is>
          <t>Adama Bationo</t>
        </is>
      </c>
      <c r="F15" t="n">
        <v>0</v>
      </c>
      <c r="G15" t="inlineStr">
        <is>
          <t>Raccord laiton 20/27 — réf 2</t>
        </is>
      </c>
      <c r="H15" t="inlineStr">
        <is>
          <t>Plomberie</t>
        </is>
      </c>
      <c r="I15" t="n">
        <v>3</v>
      </c>
      <c r="J15" s="5" t="n">
        <v>4550</v>
      </c>
      <c r="K15" s="6" t="n">
        <v>0</v>
      </c>
      <c r="L15" s="5" t="n">
        <v>13650</v>
      </c>
      <c r="M15" s="5" t="n">
        <v>16107</v>
      </c>
      <c r="N15" s="5">
        <f>ROUND(I15*J15*(1-K15),0)</f>
        <v/>
      </c>
    </row>
    <row r="16">
      <c r="A16" t="inlineStr">
        <is>
          <t>T05-250101-075859</t>
        </is>
      </c>
      <c r="B16" s="4" t="n">
        <v>45658</v>
      </c>
      <c r="C16" t="inlineStr">
        <is>
          <t>13:13</t>
        </is>
      </c>
      <c r="D16" t="inlineStr">
        <is>
          <t>Magasin 5 — Kaya Marché</t>
        </is>
      </c>
      <c r="E16" t="inlineStr">
        <is>
          <t>Adama Bationo</t>
        </is>
      </c>
      <c r="F16" t="n">
        <v>4654</v>
      </c>
      <c r="G16" t="inlineStr">
        <is>
          <t>Gravier 15/25 (m3) — réf 2</t>
        </is>
      </c>
      <c r="H16" t="inlineStr">
        <is>
          <t>Matériaux</t>
        </is>
      </c>
      <c r="I16" t="n">
        <v>5</v>
      </c>
      <c r="J16" s="5" t="n">
        <v>21450</v>
      </c>
      <c r="K16" s="6" t="n">
        <v>0</v>
      </c>
      <c r="L16" s="5" t="n">
        <v>107250</v>
      </c>
      <c r="M16" s="5" t="n">
        <v>126555</v>
      </c>
      <c r="N16" s="5">
        <f>ROUND(I16*J16*(1-K16),0)</f>
        <v/>
      </c>
    </row>
    <row r="17">
      <c r="A17" t="inlineStr">
        <is>
          <t>T05-250101-075860</t>
        </is>
      </c>
      <c r="B17" s="4" t="n">
        <v>45658</v>
      </c>
      <c r="C17" t="inlineStr">
        <is>
          <t>12:47</t>
        </is>
      </c>
      <c r="D17" t="inlineStr">
        <is>
          <t>Magasin 5 — Kaya Marché</t>
        </is>
      </c>
      <c r="E17" t="inlineStr">
        <is>
          <t>Adama Bationo</t>
        </is>
      </c>
      <c r="F17" t="n">
        <v>125</v>
      </c>
      <c r="G17" t="inlineStr">
        <is>
          <t>Pince coupante 200 mm — réf 1</t>
        </is>
      </c>
      <c r="H17" t="inlineStr">
        <is>
          <t>Quincaillerie</t>
        </is>
      </c>
      <c r="I17" t="n">
        <v>2</v>
      </c>
      <c r="J17" s="5" t="n">
        <v>5325</v>
      </c>
      <c r="K17" s="6" t="n">
        <v>0</v>
      </c>
      <c r="L17" s="5" t="n">
        <v>10650</v>
      </c>
      <c r="M17" s="5" t="n">
        <v>12567</v>
      </c>
      <c r="N17" s="5">
        <f>ROUND(I17*J17*(1-K17),0)</f>
        <v/>
      </c>
    </row>
    <row r="18">
      <c r="A18" t="inlineStr">
        <is>
          <t>T05-250101-075861</t>
        </is>
      </c>
      <c r="B18" s="4" t="n">
        <v>45658</v>
      </c>
      <c r="C18" t="inlineStr">
        <is>
          <t>17:29</t>
        </is>
      </c>
      <c r="D18" t="inlineStr">
        <is>
          <t>Magasin 5 — Kaya Marché</t>
        </is>
      </c>
      <c r="E18" t="inlineStr">
        <is>
          <t>Salamatu Sankara</t>
        </is>
      </c>
      <c r="F18" t="n">
        <v>0</v>
      </c>
      <c r="G18" t="inlineStr">
        <is>
          <t>Perforateur 800 W — réf 2</t>
        </is>
      </c>
      <c r="H18" t="inlineStr">
        <is>
          <t>Quincaillerie</t>
        </is>
      </c>
      <c r="I18" t="n">
        <v>4</v>
      </c>
      <c r="J18" s="5" t="n">
        <v>5750</v>
      </c>
      <c r="K18" s="6" t="n">
        <v>0</v>
      </c>
      <c r="L18" s="5" t="n">
        <v>23000</v>
      </c>
      <c r="M18" s="5" t="n">
        <v>27140</v>
      </c>
      <c r="N18" s="5">
        <f>ROUND(I18*J18*(1-K18),0)</f>
        <v/>
      </c>
    </row>
    <row r="19">
      <c r="A19" t="inlineStr">
        <is>
          <t>T05-250101-075862</t>
        </is>
      </c>
      <c r="B19" s="4" t="n">
        <v>45658</v>
      </c>
      <c r="C19" t="inlineStr">
        <is>
          <t>12:29</t>
        </is>
      </c>
      <c r="D19" t="inlineStr">
        <is>
          <t>Magasin 5 — Kaya Marché</t>
        </is>
      </c>
      <c r="E19" t="inlineStr">
        <is>
          <t>Adama Bationo</t>
        </is>
      </c>
      <c r="F19" t="n">
        <v>21135</v>
      </c>
      <c r="G19" t="inlineStr">
        <is>
          <t>Chasse d'eau 6 L — réf 2</t>
        </is>
      </c>
      <c r="H19" t="inlineStr">
        <is>
          <t>Plomberie</t>
        </is>
      </c>
      <c r="I19" t="n">
        <v>1</v>
      </c>
      <c r="J19" s="5" t="n">
        <v>19925</v>
      </c>
      <c r="K19" s="6" t="n">
        <v>0</v>
      </c>
      <c r="L19" s="5" t="n">
        <v>19925</v>
      </c>
      <c r="M19" s="5" t="n">
        <v>23511</v>
      </c>
      <c r="N19" s="5">
        <f>ROUND(I19*J19*(1-K19),0)</f>
        <v/>
      </c>
    </row>
    <row r="20">
      <c r="A20" t="inlineStr">
        <is>
          <t>T05-250101-075863</t>
        </is>
      </c>
      <c r="B20" s="4" t="n">
        <v>45658</v>
      </c>
      <c r="C20" t="inlineStr">
        <is>
          <t>08:54</t>
        </is>
      </c>
      <c r="D20" t="inlineStr">
        <is>
          <t>Magasin 5 — Kaya Marché</t>
        </is>
      </c>
      <c r="E20" t="inlineStr">
        <is>
          <t>Adama Bationo</t>
        </is>
      </c>
      <c r="F20" t="n">
        <v>20824</v>
      </c>
      <c r="G20" t="inlineStr">
        <is>
          <t>Régulateur de charge 10 A — réf 2</t>
        </is>
      </c>
      <c r="H20" t="inlineStr">
        <is>
          <t>Electricité</t>
        </is>
      </c>
      <c r="I20" t="n">
        <v>4</v>
      </c>
      <c r="J20" s="5" t="n">
        <v>11625</v>
      </c>
      <c r="K20" s="6" t="n">
        <v>0</v>
      </c>
      <c r="L20" s="5" t="n">
        <v>46500</v>
      </c>
      <c r="M20" s="5" t="n">
        <v>54870</v>
      </c>
      <c r="N20" s="5">
        <f>ROUND(I20*J20*(1-K20),0)</f>
        <v/>
      </c>
    </row>
    <row r="21">
      <c r="A21" t="inlineStr">
        <is>
          <t>T05-250101-075864</t>
        </is>
      </c>
      <c r="B21" s="4" t="n">
        <v>45658</v>
      </c>
      <c r="C21" t="inlineStr">
        <is>
          <t>16:58</t>
        </is>
      </c>
      <c r="D21" t="inlineStr">
        <is>
          <t>Magasin 5 — Kaya Marché</t>
        </is>
      </c>
      <c r="E21" t="inlineStr">
        <is>
          <t>Salamatu Sankara</t>
        </is>
      </c>
      <c r="F21" t="inlineStr"/>
      <c r="G21" t="inlineStr">
        <is>
          <t>Colle à carrelage 25 kg — réf 2</t>
        </is>
      </c>
      <c r="H21" t="inlineStr">
        <is>
          <t>Matériaux</t>
        </is>
      </c>
      <c r="I21" t="n">
        <v>14</v>
      </c>
      <c r="J21" s="5" t="n">
        <v>4450</v>
      </c>
      <c r="K21" s="6" t="n">
        <v>0</v>
      </c>
      <c r="L21" s="5" t="n">
        <v>62300</v>
      </c>
      <c r="M21" s="5" t="n">
        <v>73514</v>
      </c>
      <c r="N21" s="5">
        <f>ROUND(I21*J21*(1-K21),0)</f>
        <v/>
      </c>
    </row>
    <row r="22">
      <c r="A22" t="inlineStr">
        <is>
          <t>T05-250101-075865</t>
        </is>
      </c>
      <c r="B22" s="4" t="n">
        <v>45658</v>
      </c>
      <c r="C22" t="inlineStr">
        <is>
          <t>08:16</t>
        </is>
      </c>
      <c r="D22" t="inlineStr">
        <is>
          <t>Magasin 5 — Kaya Marché</t>
        </is>
      </c>
      <c r="E22" t="inlineStr">
        <is>
          <t>Adama Bationo</t>
        </is>
      </c>
      <c r="F22" t="inlineStr"/>
      <c r="G22" t="inlineStr">
        <is>
          <t>Ballon d'eau chaude 50 L — réf 1</t>
        </is>
      </c>
      <c r="H22" t="inlineStr">
        <is>
          <t>Plomberie</t>
        </is>
      </c>
      <c r="I22" t="n">
        <v>2</v>
      </c>
      <c r="J22" s="5" t="n">
        <v>34025</v>
      </c>
      <c r="K22" s="6" t="n">
        <v>0</v>
      </c>
      <c r="L22" s="5" t="n">
        <v>68050</v>
      </c>
      <c r="M22" s="5" t="n">
        <v>80299</v>
      </c>
      <c r="N22" s="5">
        <f>ROUND(I22*J22*(1-K22),0)</f>
        <v/>
      </c>
    </row>
    <row r="23">
      <c r="A23" t="inlineStr">
        <is>
          <t>T05-250102-075995</t>
        </is>
      </c>
      <c r="B23" s="4" t="n">
        <v>45659</v>
      </c>
      <c r="C23" t="inlineStr">
        <is>
          <t>16:16</t>
        </is>
      </c>
      <c r="D23" t="inlineStr">
        <is>
          <t>Magasin 5 — Kaya Marché</t>
        </is>
      </c>
      <c r="E23" t="inlineStr">
        <is>
          <t>Boureima Ouédraogo</t>
        </is>
      </c>
      <c r="F23" t="n">
        <v>20631</v>
      </c>
      <c r="G23" t="inlineStr">
        <is>
          <t>Sable de rivière (m3) — réf 2</t>
        </is>
      </c>
      <c r="H23" t="inlineStr">
        <is>
          <t>Matériaux</t>
        </is>
      </c>
      <c r="I23" t="n">
        <v>4</v>
      </c>
      <c r="J23" s="5" t="n">
        <v>27050</v>
      </c>
      <c r="K23" s="6" t="n">
        <v>0</v>
      </c>
      <c r="L23" s="5" t="n">
        <v>108200</v>
      </c>
      <c r="M23" s="5" t="n">
        <v>127676</v>
      </c>
      <c r="N23" s="5">
        <f>ROUND(I23*J23*(1-K23),0)</f>
        <v/>
      </c>
    </row>
    <row r="24">
      <c r="A24" t="inlineStr">
        <is>
          <t>T05-250102-075996</t>
        </is>
      </c>
      <c r="B24" s="4" t="n">
        <v>45659</v>
      </c>
      <c r="C24" t="inlineStr">
        <is>
          <t>11:23</t>
        </is>
      </c>
      <c r="D24" t="inlineStr">
        <is>
          <t>Magasin 5 — Kaya Marché</t>
        </is>
      </c>
      <c r="E24" t="inlineStr">
        <is>
          <t>Boureima Ouédraogo</t>
        </is>
      </c>
      <c r="F24" t="n">
        <v>0</v>
      </c>
      <c r="G24" t="inlineStr">
        <is>
          <t>Brique de terre cuite — réf 2</t>
        </is>
      </c>
      <c r="H24" t="inlineStr">
        <is>
          <t>Matériaux</t>
        </is>
      </c>
      <c r="I24" t="n">
        <v>7</v>
      </c>
      <c r="J24" s="5" t="n">
        <v>700</v>
      </c>
      <c r="K24" s="6" t="n">
        <v>0</v>
      </c>
      <c r="L24" s="5" t="n">
        <v>4900</v>
      </c>
      <c r="M24" s="5" t="n">
        <v>5782</v>
      </c>
      <c r="N24" s="5">
        <f>ROUND(I24*J24*(1-K24),0)</f>
        <v/>
      </c>
    </row>
    <row r="25">
      <c r="A25" t="inlineStr">
        <is>
          <t>T05-250102-075997</t>
        </is>
      </c>
      <c r="B25" s="4" t="n">
        <v>45659</v>
      </c>
      <c r="C25" t="inlineStr">
        <is>
          <t>09:31</t>
        </is>
      </c>
      <c r="D25" t="inlineStr">
        <is>
          <t>Magasin 5 — Kaya Marché</t>
        </is>
      </c>
      <c r="E25" t="inlineStr">
        <is>
          <t>Boureima Ouédraogo</t>
        </is>
      </c>
      <c r="F25" t="n">
        <v>16066</v>
      </c>
      <c r="G25" t="inlineStr">
        <is>
          <t>Ciment CPJ45 50 kg — réf 1</t>
        </is>
      </c>
      <c r="H25" t="inlineStr">
        <is>
          <t>Matériaux</t>
        </is>
      </c>
      <c r="I25" t="n">
        <v>12</v>
      </c>
      <c r="J25" s="5" t="n">
        <v>6100</v>
      </c>
      <c r="K25" s="6" t="n">
        <v>0</v>
      </c>
      <c r="L25" s="5" t="n">
        <v>73200</v>
      </c>
      <c r="M25" s="5" t="n">
        <v>86376</v>
      </c>
      <c r="N25" s="5">
        <f>ROUND(I25*J25*(1-K25),0)</f>
        <v/>
      </c>
    </row>
    <row r="26">
      <c r="A26" t="inlineStr">
        <is>
          <t>T05-250102-075998</t>
        </is>
      </c>
      <c r="B26" s="4" t="n">
        <v>45659</v>
      </c>
      <c r="C26" t="inlineStr">
        <is>
          <t>08:17</t>
        </is>
      </c>
      <c r="D26" t="inlineStr">
        <is>
          <t>Magasin 5 — Kaya Marché</t>
        </is>
      </c>
      <c r="E26" t="inlineStr">
        <is>
          <t>Adama Bationo</t>
        </is>
      </c>
      <c r="F26" t="n">
        <v>17124</v>
      </c>
      <c r="G26" t="inlineStr">
        <is>
          <t>Hourdis creux 12 — réf 1</t>
        </is>
      </c>
      <c r="H26" t="inlineStr">
        <is>
          <t>Matériaux</t>
        </is>
      </c>
      <c r="I26" t="n">
        <v>6</v>
      </c>
      <c r="J26" s="5" t="n">
        <v>1075</v>
      </c>
      <c r="K26" s="6" t="n">
        <v>0.08</v>
      </c>
      <c r="L26" s="5" t="n">
        <v>5934</v>
      </c>
      <c r="M26" s="5" t="n">
        <v>7002</v>
      </c>
      <c r="N26" s="5">
        <f>ROUND(I26*J26*(1-K26),0)</f>
        <v/>
      </c>
    </row>
    <row r="27">
      <c r="A27" t="inlineStr">
        <is>
          <t>T05-250102-075999</t>
        </is>
      </c>
      <c r="B27" s="4" t="n">
        <v>45659</v>
      </c>
      <c r="C27" t="inlineStr">
        <is>
          <t>17:27</t>
        </is>
      </c>
      <c r="D27" t="inlineStr">
        <is>
          <t>Magasin 5 — Kaya Marché</t>
        </is>
      </c>
      <c r="E27" t="inlineStr">
        <is>
          <t>Adama Bationo</t>
        </is>
      </c>
      <c r="F27" t="n">
        <v>8234</v>
      </c>
      <c r="G27" t="inlineStr">
        <is>
          <t>Casque de chantier — réf 2</t>
        </is>
      </c>
      <c r="H27" t="inlineStr">
        <is>
          <t>Consommables</t>
        </is>
      </c>
      <c r="I27" t="n">
        <v>27</v>
      </c>
      <c r="J27" s="5" t="n">
        <v>5400</v>
      </c>
      <c r="K27" s="6" t="n">
        <v>0</v>
      </c>
      <c r="L27" s="5" t="n">
        <v>145800</v>
      </c>
      <c r="M27" s="5" t="n">
        <v>172044</v>
      </c>
      <c r="N27" s="5">
        <f>ROUND(I27*J27*(1-K27),0)</f>
        <v/>
      </c>
    </row>
    <row r="28">
      <c r="A28" t="inlineStr">
        <is>
          <t>T05-250102-076000</t>
        </is>
      </c>
      <c r="B28" s="4" t="n">
        <v>45659</v>
      </c>
      <c r="C28" t="inlineStr">
        <is>
          <t>08:18</t>
        </is>
      </c>
      <c r="D28" t="inlineStr">
        <is>
          <t>Magasin 5 — Kaya Marché</t>
        </is>
      </c>
      <c r="E28" t="inlineStr">
        <is>
          <t>Boureima Ouédraogo</t>
        </is>
      </c>
      <c r="F28" t="n">
        <v>5812</v>
      </c>
      <c r="G28" t="inlineStr">
        <is>
          <t>Tableau 18 modules — réf 1</t>
        </is>
      </c>
      <c r="H28" t="inlineStr">
        <is>
          <t>Electricité</t>
        </is>
      </c>
      <c r="I28" t="n">
        <v>25</v>
      </c>
      <c r="J28" s="5" t="n">
        <v>8700</v>
      </c>
      <c r="K28" s="6" t="n">
        <v>0.08</v>
      </c>
      <c r="L28" s="5" t="n">
        <v>200100</v>
      </c>
      <c r="M28" s="5" t="n">
        <v>236118</v>
      </c>
      <c r="N28" s="5">
        <f>ROUND(I28*J28*(1-K28),0)</f>
        <v/>
      </c>
    </row>
    <row r="29">
      <c r="A29" t="inlineStr">
        <is>
          <t>T05-250102-076001</t>
        </is>
      </c>
      <c r="B29" s="4" t="n">
        <v>45659</v>
      </c>
      <c r="C29" t="inlineStr">
        <is>
          <t>07:43</t>
        </is>
      </c>
      <c r="D29" t="inlineStr">
        <is>
          <t>Magasin 5 — Kaya Marché</t>
        </is>
      </c>
      <c r="E29" t="inlineStr">
        <is>
          <t>Moussa Ilboudo</t>
        </is>
      </c>
      <c r="F29" t="n">
        <v>9745</v>
      </c>
      <c r="G29" t="inlineStr">
        <is>
          <t>Pavé autobloquant — réf 2</t>
        </is>
      </c>
      <c r="H29" t="inlineStr">
        <is>
          <t>Matériaux</t>
        </is>
      </c>
      <c r="I29" t="n">
        <v>3</v>
      </c>
      <c r="J29" s="5" t="n">
        <v>675</v>
      </c>
      <c r="K29" s="6" t="n">
        <v>0</v>
      </c>
      <c r="L29" s="5" t="n">
        <v>2025</v>
      </c>
      <c r="M29" s="5" t="n">
        <v>2389</v>
      </c>
      <c r="N29" s="5">
        <f>ROUND(I29*J29*(1-K29),0)</f>
        <v/>
      </c>
    </row>
    <row r="30">
      <c r="A30" t="inlineStr">
        <is>
          <t>T05-250102-076002</t>
        </is>
      </c>
      <c r="B30" s="4" t="n">
        <v>45659</v>
      </c>
      <c r="C30" t="inlineStr">
        <is>
          <t>10:32</t>
        </is>
      </c>
      <c r="D30" t="inlineStr">
        <is>
          <t>Magasin 5 — Kaya Marché</t>
        </is>
      </c>
      <c r="E30" t="inlineStr">
        <is>
          <t>Salamatu Sankara</t>
        </is>
      </c>
      <c r="F30" t="n">
        <v>21264</v>
      </c>
      <c r="G30" t="inlineStr">
        <is>
          <t>Mètre ruban 5 m — réf 1</t>
        </is>
      </c>
      <c r="H30" t="inlineStr">
        <is>
          <t>Quincaillerie</t>
        </is>
      </c>
      <c r="I30" t="n">
        <v>12</v>
      </c>
      <c r="J30" s="5" t="n">
        <v>7475</v>
      </c>
      <c r="K30" s="6" t="n">
        <v>0.04</v>
      </c>
      <c r="L30" s="5" t="n">
        <v>86112</v>
      </c>
      <c r="M30" s="5" t="n">
        <v>101612</v>
      </c>
      <c r="N30" s="5">
        <f>ROUND(I30*J30*(1-K30),0)</f>
        <v/>
      </c>
    </row>
    <row r="31">
      <c r="A31" t="inlineStr">
        <is>
          <t>T05-250102-076003</t>
        </is>
      </c>
      <c r="B31" s="4" t="n">
        <v>45659</v>
      </c>
      <c r="C31" t="inlineStr">
        <is>
          <t>10:37</t>
        </is>
      </c>
      <c r="D31" t="inlineStr">
        <is>
          <t>Magasin 5 — Kaya Marché</t>
        </is>
      </c>
      <c r="E31" t="inlineStr">
        <is>
          <t>Boureima Ouédraogo</t>
        </is>
      </c>
      <c r="F31" t="n">
        <v>20263</v>
      </c>
      <c r="G31" t="inlineStr">
        <is>
          <t>Ciment CPJ45 50 kg — réf 1</t>
        </is>
      </c>
      <c r="H31" t="inlineStr">
        <is>
          <t>Matériaux</t>
        </is>
      </c>
      <c r="I31" t="n">
        <v>1</v>
      </c>
      <c r="J31" s="5" t="n">
        <v>6100</v>
      </c>
      <c r="K31" s="6" t="n">
        <v>0</v>
      </c>
      <c r="L31" s="5" t="n">
        <v>6100</v>
      </c>
      <c r="M31" s="5" t="n">
        <v>7198</v>
      </c>
      <c r="N31" s="5">
        <f>ROUND(I31*J31*(1-K31),0)</f>
        <v/>
      </c>
    </row>
    <row r="32">
      <c r="A32" t="inlineStr">
        <is>
          <t>T05-250102-076004</t>
        </is>
      </c>
      <c r="B32" s="4" t="n">
        <v>45659</v>
      </c>
      <c r="C32" t="inlineStr">
        <is>
          <t>07:12</t>
        </is>
      </c>
      <c r="D32" t="inlineStr">
        <is>
          <t>Magasin 5 — Kaya Marché</t>
        </is>
      </c>
      <c r="E32" t="inlineStr">
        <is>
          <t>Salamatu Sankara</t>
        </is>
      </c>
      <c r="F32" t="inlineStr"/>
      <c r="G32" t="inlineStr">
        <is>
          <t>Tube PVC évacuation 100 mm (ml) — réf 1</t>
        </is>
      </c>
      <c r="H32" t="inlineStr">
        <is>
          <t>Plomberie</t>
        </is>
      </c>
      <c r="I32" t="n">
        <v>5</v>
      </c>
      <c r="J32" s="5" t="n">
        <v>3500</v>
      </c>
      <c r="K32" s="6" t="n">
        <v>0</v>
      </c>
      <c r="L32" s="5" t="n">
        <v>17500</v>
      </c>
      <c r="M32" s="5" t="n">
        <v>20650</v>
      </c>
      <c r="N32" s="5">
        <f>ROUND(I32*J32*(1-K32),0)</f>
        <v/>
      </c>
    </row>
    <row r="33">
      <c r="A33" t="inlineStr">
        <is>
          <t>T05-250102-076005</t>
        </is>
      </c>
      <c r="B33" s="4" t="n">
        <v>45659</v>
      </c>
      <c r="C33" t="inlineStr">
        <is>
          <t>08:40</t>
        </is>
      </c>
      <c r="D33" t="inlineStr">
        <is>
          <t>Magasin 5 — Kaya Marché</t>
        </is>
      </c>
      <c r="E33" t="inlineStr">
        <is>
          <t>Boureima Ouédraogo</t>
        </is>
      </c>
      <c r="F33" t="n">
        <v>16610</v>
      </c>
      <c r="G33" t="inlineStr">
        <is>
          <t>Peinture glycéro 1 L — réf 2</t>
        </is>
      </c>
      <c r="H33" t="inlineStr">
        <is>
          <t>Peinture</t>
        </is>
      </c>
      <c r="I33" t="n">
        <v>17</v>
      </c>
      <c r="J33" s="5" t="n">
        <v>3925</v>
      </c>
      <c r="K33" s="6" t="n">
        <v>0</v>
      </c>
      <c r="L33" s="5" t="n">
        <v>66725</v>
      </c>
      <c r="M33" s="5" t="n">
        <v>78735</v>
      </c>
      <c r="N33" s="5">
        <f>ROUND(I33*J33*(1-K33),0)</f>
        <v/>
      </c>
    </row>
    <row r="34">
      <c r="A34" t="inlineStr">
        <is>
          <t>T05-250102-076006</t>
        </is>
      </c>
      <c r="B34" s="4" t="n">
        <v>45659</v>
      </c>
      <c r="C34" t="inlineStr">
        <is>
          <t>12:58</t>
        </is>
      </c>
      <c r="D34" t="inlineStr">
        <is>
          <t>Magasin 5 — Kaya Marché</t>
        </is>
      </c>
      <c r="E34" t="inlineStr">
        <is>
          <t>Boureima Ouédraogo</t>
        </is>
      </c>
      <c r="F34" t="inlineStr"/>
      <c r="G34" t="inlineStr">
        <is>
          <t>Colle à carrelage 25 kg — réf 2</t>
        </is>
      </c>
      <c r="H34" t="inlineStr">
        <is>
          <t>Matériaux</t>
        </is>
      </c>
      <c r="I34" t="n">
        <v>5</v>
      </c>
      <c r="J34" s="5" t="n">
        <v>4300</v>
      </c>
      <c r="K34" s="6" t="n">
        <v>0.04</v>
      </c>
      <c r="L34" s="5" t="n">
        <v>20640</v>
      </c>
      <c r="M34" s="5" t="n">
        <v>24355</v>
      </c>
      <c r="N34" s="5">
        <f>ROUND(I34*J34*(1-K34),0)</f>
        <v/>
      </c>
    </row>
    <row r="35">
      <c r="A35" t="inlineStr">
        <is>
          <t>T05-250102-076007</t>
        </is>
      </c>
      <c r="B35" s="4" t="n">
        <v>45659</v>
      </c>
      <c r="C35" t="inlineStr">
        <is>
          <t>18:53</t>
        </is>
      </c>
      <c r="D35" t="inlineStr">
        <is>
          <t>Magasin 5 — Kaya Marché</t>
        </is>
      </c>
      <c r="E35" t="inlineStr">
        <is>
          <t>Adama Bationo</t>
        </is>
      </c>
      <c r="F35" t="n">
        <v>2691</v>
      </c>
      <c r="G35" t="inlineStr">
        <is>
          <t>Raccord laiton 20/27 — réf 2</t>
        </is>
      </c>
      <c r="H35" t="inlineStr">
        <is>
          <t>Plomberie</t>
        </is>
      </c>
      <c r="I35" t="n">
        <v>4</v>
      </c>
      <c r="J35" s="5" t="n">
        <v>4825</v>
      </c>
      <c r="K35" s="6" t="n">
        <v>0.04</v>
      </c>
      <c r="L35" s="5" t="n">
        <v>18528</v>
      </c>
      <c r="M35" s="5" t="n">
        <v>21863</v>
      </c>
      <c r="N35" s="5">
        <f>ROUND(I35*J35*(1-K35),0)</f>
        <v/>
      </c>
    </row>
    <row r="36">
      <c r="A36" t="inlineStr">
        <is>
          <t>T05-250102-076008</t>
        </is>
      </c>
      <c r="B36" s="4" t="n">
        <v>45659</v>
      </c>
      <c r="C36" t="inlineStr">
        <is>
          <t>14:52</t>
        </is>
      </c>
      <c r="D36" t="inlineStr">
        <is>
          <t>Magasin 5 — Kaya Marché</t>
        </is>
      </c>
      <c r="E36" t="inlineStr">
        <is>
          <t>Salamatu Sankara</t>
        </is>
      </c>
      <c r="F36" t="n">
        <v>16233</v>
      </c>
      <c r="G36" t="inlineStr">
        <is>
          <t>Pelle carrée — réf 2</t>
        </is>
      </c>
      <c r="H36" t="inlineStr">
        <is>
          <t>Consommables</t>
        </is>
      </c>
      <c r="I36" t="n">
        <v>2</v>
      </c>
      <c r="J36" s="5" t="n">
        <v>5100</v>
      </c>
      <c r="K36" s="6" t="n">
        <v>0</v>
      </c>
      <c r="L36" s="5" t="n">
        <v>10200</v>
      </c>
      <c r="M36" s="5" t="n">
        <v>12036</v>
      </c>
      <c r="N36" s="5">
        <f>ROUND(I36*J36*(1-K36),0)</f>
        <v/>
      </c>
    </row>
    <row r="37">
      <c r="A37" t="inlineStr">
        <is>
          <t>T05-250102-076009</t>
        </is>
      </c>
      <c r="B37" s="4" t="n">
        <v>45659</v>
      </c>
      <c r="C37" t="inlineStr">
        <is>
          <t>16:14</t>
        </is>
      </c>
      <c r="D37" t="inlineStr">
        <is>
          <t>Magasin 5 — Kaya Marché</t>
        </is>
      </c>
      <c r="E37" t="inlineStr">
        <is>
          <t>Boureima Ouédraogo</t>
        </is>
      </c>
      <c r="F37" t="n">
        <v>2178</v>
      </c>
      <c r="G37" t="inlineStr">
        <is>
          <t>Sac de transport 100 kg — réf 1</t>
        </is>
      </c>
      <c r="H37" t="inlineStr">
        <is>
          <t>Consommables</t>
        </is>
      </c>
      <c r="I37" t="n">
        <v>2</v>
      </c>
      <c r="J37" s="5" t="n">
        <v>8775</v>
      </c>
      <c r="K37" s="6" t="n">
        <v>0.04</v>
      </c>
      <c r="L37" s="5" t="n">
        <v>16848</v>
      </c>
      <c r="M37" s="5" t="n">
        <v>19881</v>
      </c>
      <c r="N37" s="5">
        <f>ROUND(I37*J37*(1-K37),0)</f>
        <v/>
      </c>
    </row>
    <row r="38">
      <c r="A38" t="inlineStr">
        <is>
          <t>T05-250102-076010</t>
        </is>
      </c>
      <c r="B38" s="4" t="n">
        <v>45659</v>
      </c>
      <c r="C38" t="inlineStr">
        <is>
          <t>12:34</t>
        </is>
      </c>
      <c r="D38" t="inlineStr">
        <is>
          <t>Magasin 5 — Kaya Marché</t>
        </is>
      </c>
      <c r="E38" t="inlineStr">
        <is>
          <t>Salamatu Sankara</t>
        </is>
      </c>
      <c r="F38" t="n">
        <v>12170</v>
      </c>
      <c r="G38" t="inlineStr">
        <is>
          <t>Brique de terre cuite — réf 2</t>
        </is>
      </c>
      <c r="H38" t="inlineStr">
        <is>
          <t>Matériaux</t>
        </is>
      </c>
      <c r="I38" t="n">
        <v>2</v>
      </c>
      <c r="J38" s="5" t="n">
        <v>675</v>
      </c>
      <c r="K38" s="6" t="n">
        <v>0</v>
      </c>
      <c r="L38" s="5" t="n">
        <v>1350</v>
      </c>
      <c r="M38" s="5" t="n">
        <v>1593</v>
      </c>
      <c r="N38" s="5">
        <f>ROUND(I38*J38*(1-K38),0)</f>
        <v/>
      </c>
    </row>
    <row r="39">
      <c r="A39" t="inlineStr">
        <is>
          <t>T05-250102-076011</t>
        </is>
      </c>
      <c r="B39" s="4" t="n">
        <v>45659</v>
      </c>
      <c r="C39" t="inlineStr">
        <is>
          <t>18:01</t>
        </is>
      </c>
      <c r="D39" t="inlineStr">
        <is>
          <t>Magasin 5 — Kaya Marché</t>
        </is>
      </c>
      <c r="E39" t="inlineStr">
        <is>
          <t>Moussa Ilboudo</t>
        </is>
      </c>
      <c r="F39" t="n">
        <v>2474</v>
      </c>
      <c r="G39" t="inlineStr">
        <is>
          <t>Tout-venant (m3) — réf 1</t>
        </is>
      </c>
      <c r="H39" t="inlineStr">
        <is>
          <t>Matériaux</t>
        </is>
      </c>
      <c r="I39" t="n">
        <v>4</v>
      </c>
      <c r="J39" s="5" t="n">
        <v>16375</v>
      </c>
      <c r="K39" s="6" t="n">
        <v>0.04</v>
      </c>
      <c r="L39" s="5" t="n">
        <v>62880</v>
      </c>
      <c r="M39" s="5" t="n">
        <v>74198</v>
      </c>
      <c r="N39" s="5">
        <f>ROUND(I39*J39*(1-K39),0)</f>
        <v/>
      </c>
    </row>
    <row r="40">
      <c r="A40" t="inlineStr">
        <is>
          <t>T05-250102-076012</t>
        </is>
      </c>
      <c r="B40" s="4" t="n">
        <v>45659</v>
      </c>
      <c r="C40" t="inlineStr">
        <is>
          <t>13:31</t>
        </is>
      </c>
      <c r="D40" t="inlineStr">
        <is>
          <t>Magasin 5 — Kaya Marché</t>
        </is>
      </c>
      <c r="E40" t="inlineStr">
        <is>
          <t>Adama Bationo</t>
        </is>
      </c>
      <c r="F40" t="n">
        <v>4653</v>
      </c>
      <c r="G40" t="inlineStr">
        <is>
          <t>Parpaing 15 aggloméré — réf 2</t>
        </is>
      </c>
      <c r="H40" t="inlineStr">
        <is>
          <t>Matériaux</t>
        </is>
      </c>
      <c r="I40" t="n">
        <v>5</v>
      </c>
      <c r="J40" s="5" t="n">
        <v>1400</v>
      </c>
      <c r="K40" s="6" t="n">
        <v>0</v>
      </c>
      <c r="L40" s="5" t="n">
        <v>7000</v>
      </c>
      <c r="M40" s="5" t="n">
        <v>8260</v>
      </c>
      <c r="N40" s="5">
        <f>ROUND(I40*J40*(1-K40),0)</f>
        <v/>
      </c>
    </row>
    <row r="41">
      <c r="A41" t="inlineStr">
        <is>
          <t>T05-250102-076013</t>
        </is>
      </c>
      <c r="B41" s="4" t="n">
        <v>45659</v>
      </c>
      <c r="C41" t="inlineStr">
        <is>
          <t>12:57</t>
        </is>
      </c>
      <c r="D41" t="inlineStr">
        <is>
          <t>Magasin 5 — Kaya Marché</t>
        </is>
      </c>
      <c r="E41" t="inlineStr">
        <is>
          <t>Salamatu Sankara</t>
        </is>
      </c>
      <c r="F41" t="n">
        <v>7529</v>
      </c>
      <c r="G41" t="inlineStr">
        <is>
          <t>Régulateur de charge 10 A — réf 1</t>
        </is>
      </c>
      <c r="H41" t="inlineStr">
        <is>
          <t>Electricité</t>
        </is>
      </c>
      <c r="I41" t="n">
        <v>3</v>
      </c>
      <c r="J41" s="5" t="n">
        <v>21675</v>
      </c>
      <c r="K41" s="6" t="n">
        <v>0.03</v>
      </c>
      <c r="L41" s="5" t="n">
        <v>63074</v>
      </c>
      <c r="M41" s="5" t="n">
        <v>74427</v>
      </c>
      <c r="N41" s="5">
        <f>ROUND(I41*J41*(1-K41),0)</f>
        <v/>
      </c>
    </row>
    <row r="42">
      <c r="A42" t="inlineStr">
        <is>
          <t>T05-250201-079456</t>
        </is>
      </c>
      <c r="B42" s="4" t="n">
        <v>45689</v>
      </c>
      <c r="C42" t="inlineStr">
        <is>
          <t>13:52</t>
        </is>
      </c>
      <c r="D42" t="inlineStr">
        <is>
          <t>Magasin 5 — Kaya Marché</t>
        </is>
      </c>
      <c r="E42" t="inlineStr">
        <is>
          <t>Boureima Ouédraogo</t>
        </is>
      </c>
      <c r="F42" t="n">
        <v>3742</v>
      </c>
      <c r="G42" t="inlineStr">
        <is>
          <t>Té fonte 100 — réf 1</t>
        </is>
      </c>
      <c r="H42" t="inlineStr">
        <is>
          <t>Plomberie</t>
        </is>
      </c>
      <c r="I42" t="n">
        <v>1</v>
      </c>
      <c r="J42" s="5" t="n">
        <v>3150</v>
      </c>
      <c r="K42" s="6" t="n">
        <v>0.04</v>
      </c>
      <c r="L42" s="5" t="n">
        <v>3024</v>
      </c>
      <c r="M42" s="5" t="n">
        <v>3568</v>
      </c>
      <c r="N42" s="5">
        <f>ROUND(I42*J42*(1-K42),0)</f>
        <v/>
      </c>
    </row>
    <row r="43">
      <c r="A43" t="inlineStr">
        <is>
          <t>T05-250201-079457</t>
        </is>
      </c>
      <c r="B43" s="4" t="n">
        <v>45689</v>
      </c>
      <c r="C43" t="inlineStr">
        <is>
          <t>09:27</t>
        </is>
      </c>
      <c r="D43" t="inlineStr">
        <is>
          <t>Magasin 5 — Kaya Marché</t>
        </is>
      </c>
      <c r="E43" t="inlineStr">
        <is>
          <t>Moussa Ilboudo</t>
        </is>
      </c>
      <c r="F43" t="n">
        <v>0</v>
      </c>
      <c r="G43" t="inlineStr">
        <is>
          <t>Peinture glycéro 1 L — réf 1</t>
        </is>
      </c>
      <c r="H43" t="inlineStr">
        <is>
          <t>Peinture</t>
        </is>
      </c>
      <c r="I43" t="n">
        <v>21</v>
      </c>
      <c r="J43" s="5" t="n">
        <v>3300</v>
      </c>
      <c r="K43" s="6" t="n">
        <v>0</v>
      </c>
      <c r="L43" s="5" t="n">
        <v>69300</v>
      </c>
      <c r="M43" s="5" t="n">
        <v>81774</v>
      </c>
      <c r="N43" s="5">
        <f>ROUND(I43*J43*(1-K43),0)</f>
        <v/>
      </c>
    </row>
    <row r="44">
      <c r="A44" t="inlineStr">
        <is>
          <t>T05-250201-079458</t>
        </is>
      </c>
      <c r="B44" s="4" t="n">
        <v>45689</v>
      </c>
      <c r="C44" t="inlineStr">
        <is>
          <t>18:28</t>
        </is>
      </c>
      <c r="D44" t="inlineStr">
        <is>
          <t>Magasin 5 — Kaya Marché</t>
        </is>
      </c>
      <c r="E44" t="inlineStr">
        <is>
          <t>Salamatu Sankara</t>
        </is>
      </c>
      <c r="F44" t="n">
        <v>21909</v>
      </c>
      <c r="G44" t="inlineStr">
        <is>
          <t>Carreau de pavement 40x40 — réf 1</t>
        </is>
      </c>
      <c r="H44" t="inlineStr">
        <is>
          <t>Matériaux</t>
        </is>
      </c>
      <c r="I44" t="n">
        <v>4</v>
      </c>
      <c r="J44" s="5" t="n">
        <v>1025</v>
      </c>
      <c r="K44" s="6" t="n">
        <v>0</v>
      </c>
      <c r="L44" s="5" t="n">
        <v>4100</v>
      </c>
      <c r="M44" s="5" t="n">
        <v>4838</v>
      </c>
      <c r="N44" s="5">
        <f>ROUND(I44*J44*(1-K44),0)</f>
        <v/>
      </c>
    </row>
    <row r="45">
      <c r="A45" t="inlineStr">
        <is>
          <t>T05-250201-079459</t>
        </is>
      </c>
      <c r="B45" s="4" t="n">
        <v>45689</v>
      </c>
      <c r="C45" t="inlineStr">
        <is>
          <t>16:55</t>
        </is>
      </c>
      <c r="D45" t="inlineStr">
        <is>
          <t>Magasin 5 — Kaya Marché</t>
        </is>
      </c>
      <c r="E45" t="inlineStr">
        <is>
          <t>Moussa Ilboudo</t>
        </is>
      </c>
      <c r="F45" t="n">
        <v>21680</v>
      </c>
      <c r="G45" t="inlineStr">
        <is>
          <t>Lampe solaire murale — réf 1</t>
        </is>
      </c>
      <c r="H45" t="inlineStr">
        <is>
          <t>Electricité</t>
        </is>
      </c>
      <c r="I45" t="n">
        <v>5</v>
      </c>
      <c r="J45" s="5" t="n">
        <v>10525</v>
      </c>
      <c r="K45" s="6" t="n">
        <v>0.03</v>
      </c>
      <c r="L45" s="5" t="n">
        <v>51046</v>
      </c>
      <c r="M45" s="5" t="n">
        <v>60234</v>
      </c>
      <c r="N45" s="5">
        <f>ROUND(I45*J45*(1-K45),0)</f>
        <v/>
      </c>
    </row>
    <row r="46">
      <c r="A46" t="inlineStr">
        <is>
          <t>T05-250201-079460</t>
        </is>
      </c>
      <c r="B46" s="4" t="n">
        <v>45689</v>
      </c>
      <c r="C46" t="inlineStr">
        <is>
          <t>18:22</t>
        </is>
      </c>
      <c r="D46" t="inlineStr">
        <is>
          <t>Magasin 5 — Kaya Marché</t>
        </is>
      </c>
      <c r="E46" t="inlineStr">
        <is>
          <t>Salamatu Sankara</t>
        </is>
      </c>
      <c r="F46" t="n">
        <v>1519</v>
      </c>
      <c r="G46" t="inlineStr">
        <is>
          <t>Colle à carrelage 25 kg — réf 1</t>
        </is>
      </c>
      <c r="H46" t="inlineStr">
        <is>
          <t>Matériaux</t>
        </is>
      </c>
      <c r="I46" t="n">
        <v>8</v>
      </c>
      <c r="J46" s="5" t="n">
        <v>6100</v>
      </c>
      <c r="K46" s="6" t="n">
        <v>0.04</v>
      </c>
      <c r="L46" s="5" t="n">
        <v>46848</v>
      </c>
      <c r="M46" s="5" t="n">
        <v>55281</v>
      </c>
      <c r="N46" s="5">
        <f>ROUND(I46*J46*(1-K46),0)</f>
        <v/>
      </c>
    </row>
    <row r="47">
      <c r="A47" t="inlineStr">
        <is>
          <t>T05-250201-079461</t>
        </is>
      </c>
      <c r="B47" s="4" t="n">
        <v>45689</v>
      </c>
      <c r="C47" t="inlineStr">
        <is>
          <t>14:19</t>
        </is>
      </c>
      <c r="D47" t="inlineStr">
        <is>
          <t>Magasin 5 — Kaya Marché</t>
        </is>
      </c>
      <c r="E47" t="inlineStr">
        <is>
          <t>Salamatu Sankara</t>
        </is>
      </c>
      <c r="F47" t="n">
        <v>0</v>
      </c>
      <c r="G47" t="inlineStr">
        <is>
          <t>Mastic d'étanchéité — réf 1</t>
        </is>
      </c>
      <c r="H47" t="inlineStr">
        <is>
          <t>Plomberie</t>
        </is>
      </c>
      <c r="I47" t="n">
        <v>4</v>
      </c>
      <c r="J47" s="5" t="n">
        <v>3450</v>
      </c>
      <c r="K47" s="6" t="n">
        <v>0</v>
      </c>
      <c r="L47" s="5" t="n">
        <v>13800</v>
      </c>
      <c r="M47" s="5" t="n">
        <v>16284</v>
      </c>
      <c r="N47" s="5">
        <f>ROUND(I47*J47*(1-K47),0)</f>
        <v/>
      </c>
    </row>
    <row r="48">
      <c r="A48" t="inlineStr">
        <is>
          <t>T05-250201-079462</t>
        </is>
      </c>
      <c r="B48" s="4" t="n">
        <v>45689</v>
      </c>
      <c r="C48" t="inlineStr">
        <is>
          <t>10:15</t>
        </is>
      </c>
      <c r="D48" t="inlineStr">
        <is>
          <t>Magasin 5 — Kaya Marché</t>
        </is>
      </c>
      <c r="E48" t="inlineStr">
        <is>
          <t>Moussa Ilboudo</t>
        </is>
      </c>
      <c r="F48" t="n">
        <v>19183</v>
      </c>
      <c r="G48" t="inlineStr">
        <is>
          <t>Pointe 100 mm (kg) — réf 1</t>
        </is>
      </c>
      <c r="H48" t="inlineStr">
        <is>
          <t>Quincaillerie</t>
        </is>
      </c>
      <c r="I48" t="n">
        <v>3</v>
      </c>
      <c r="J48" s="5" t="n">
        <v>2450</v>
      </c>
      <c r="K48" s="6" t="n">
        <v>0.03</v>
      </c>
      <c r="L48" s="5" t="n">
        <v>7130</v>
      </c>
      <c r="M48" s="5" t="n">
        <v>8413</v>
      </c>
      <c r="N48" s="5">
        <f>ROUND(I48*J48*(1-K48),0)</f>
        <v/>
      </c>
    </row>
    <row r="49">
      <c r="A49" t="inlineStr">
        <is>
          <t>T05-250201-079463</t>
        </is>
      </c>
      <c r="B49" s="4" t="n">
        <v>45689</v>
      </c>
      <c r="C49" t="inlineStr">
        <is>
          <t>15:49</t>
        </is>
      </c>
      <c r="D49" t="inlineStr">
        <is>
          <t>Magasin 5 — Kaya Marché</t>
        </is>
      </c>
      <c r="E49" t="inlineStr">
        <is>
          <t>Boureima Ouédraogo</t>
        </is>
      </c>
      <c r="F49" t="n">
        <v>20154</v>
      </c>
      <c r="G49" t="inlineStr">
        <is>
          <t>Ciment CPJ45 50 kg — réf 2</t>
        </is>
      </c>
      <c r="H49" t="inlineStr">
        <is>
          <t>Matériaux</t>
        </is>
      </c>
      <c r="I49" t="n">
        <v>6</v>
      </c>
      <c r="J49" s="5" t="n">
        <v>6600</v>
      </c>
      <c r="K49" s="6" t="n">
        <v>0</v>
      </c>
      <c r="L49" s="5" t="n">
        <v>39600</v>
      </c>
      <c r="M49" s="5" t="n">
        <v>46728</v>
      </c>
      <c r="N49" s="5">
        <f>ROUND(I49*J49*(1-K49),0)</f>
        <v/>
      </c>
    </row>
    <row r="50">
      <c r="A50" t="inlineStr">
        <is>
          <t>T05-250201-079464</t>
        </is>
      </c>
      <c r="B50" s="4" t="n">
        <v>45689</v>
      </c>
      <c r="C50" t="inlineStr">
        <is>
          <t>09:01</t>
        </is>
      </c>
      <c r="D50" t="inlineStr">
        <is>
          <t>Magasin 5 — Kaya Marché</t>
        </is>
      </c>
      <c r="E50" t="inlineStr">
        <is>
          <t>Adama Bationo</t>
        </is>
      </c>
      <c r="F50" t="n">
        <v>4280</v>
      </c>
      <c r="G50" t="inlineStr">
        <is>
          <t>Fil de fer recuit (kg) — réf 1</t>
        </is>
      </c>
      <c r="H50" t="inlineStr">
        <is>
          <t>Quincaillerie</t>
        </is>
      </c>
      <c r="I50" t="n">
        <v>5</v>
      </c>
      <c r="J50" s="5" t="n">
        <v>1650</v>
      </c>
      <c r="K50" s="6" t="n">
        <v>0</v>
      </c>
      <c r="L50" s="5" t="n">
        <v>8250</v>
      </c>
      <c r="M50" s="5" t="n">
        <v>9735</v>
      </c>
      <c r="N50" s="5">
        <f>ROUND(I50*J50*(1-K50),0)</f>
        <v/>
      </c>
    </row>
    <row r="51">
      <c r="A51" t="inlineStr">
        <is>
          <t>T05-250201-079465</t>
        </is>
      </c>
      <c r="B51" s="4" t="n">
        <v>45689</v>
      </c>
      <c r="C51" t="inlineStr">
        <is>
          <t>11:19</t>
        </is>
      </c>
      <c r="D51" t="inlineStr">
        <is>
          <t>Magasin 5 — Kaya Marché</t>
        </is>
      </c>
      <c r="E51" t="inlineStr">
        <is>
          <t>Moussa Ilboudo</t>
        </is>
      </c>
      <c r="F51" t="n">
        <v>9701</v>
      </c>
      <c r="G51" t="inlineStr">
        <is>
          <t>Passe-câble étanche — réf 2</t>
        </is>
      </c>
      <c r="H51" t="inlineStr">
        <is>
          <t>Electricité</t>
        </is>
      </c>
      <c r="I51" t="n">
        <v>2</v>
      </c>
      <c r="J51" s="5" t="n">
        <v>16425</v>
      </c>
      <c r="K51" s="6" t="n">
        <v>0.08</v>
      </c>
      <c r="L51" s="5" t="n">
        <v>30222</v>
      </c>
      <c r="M51" s="5" t="n">
        <v>35662</v>
      </c>
      <c r="N51" s="5">
        <f>ROUND(I51*J51*(1-K51),0)</f>
        <v/>
      </c>
    </row>
    <row r="52">
      <c r="A52" t="inlineStr">
        <is>
          <t>T05-250201-079466</t>
        </is>
      </c>
      <c r="B52" s="4" t="n">
        <v>45689</v>
      </c>
      <c r="C52" t="inlineStr">
        <is>
          <t>17:52</t>
        </is>
      </c>
      <c r="D52" t="inlineStr">
        <is>
          <t>Magasin 5 — Kaya Marché</t>
        </is>
      </c>
      <c r="E52" t="inlineStr">
        <is>
          <t>Boureima Ouédraogo</t>
        </is>
      </c>
      <c r="F52" t="n">
        <v>20964</v>
      </c>
      <c r="G52" t="inlineStr">
        <is>
          <t>Peinture toiture 25 kg — réf 2</t>
        </is>
      </c>
      <c r="H52" t="inlineStr">
        <is>
          <t>Peinture</t>
        </is>
      </c>
      <c r="I52" t="n">
        <v>29</v>
      </c>
      <c r="J52" s="5" t="n">
        <v>6150</v>
      </c>
      <c r="K52" s="6" t="n">
        <v>0.04</v>
      </c>
      <c r="L52" s="5" t="n">
        <v>171216</v>
      </c>
      <c r="M52" s="5" t="n">
        <v>202035</v>
      </c>
      <c r="N52" s="5">
        <f>ROUND(I52*J52*(1-K52),0)</f>
        <v/>
      </c>
    </row>
    <row r="53">
      <c r="A53" t="inlineStr">
        <is>
          <t>T05-250201-079467</t>
        </is>
      </c>
      <c r="B53" s="4" t="n">
        <v>45689</v>
      </c>
      <c r="C53" t="inlineStr">
        <is>
          <t>09:28</t>
        </is>
      </c>
      <c r="D53" t="inlineStr">
        <is>
          <t>Magasin 5 — Kaya Marché</t>
        </is>
      </c>
      <c r="E53" t="inlineStr">
        <is>
          <t>Salamatu Sankara</t>
        </is>
      </c>
      <c r="F53" t="n">
        <v>22552</v>
      </c>
      <c r="G53" t="inlineStr">
        <is>
          <t>Chaux aérienne 25 kg — réf 1</t>
        </is>
      </c>
      <c r="H53" t="inlineStr">
        <is>
          <t>Matériaux</t>
        </is>
      </c>
      <c r="I53" t="n">
        <v>1</v>
      </c>
      <c r="J53" s="5" t="n">
        <v>5150</v>
      </c>
      <c r="K53" s="6" t="n">
        <v>0.04</v>
      </c>
      <c r="L53" s="5" t="n">
        <v>4944</v>
      </c>
      <c r="M53" s="5" t="n">
        <v>5834</v>
      </c>
      <c r="N53" s="5">
        <f>ROUND(I53*J53*(1-K53),0)</f>
        <v/>
      </c>
    </row>
    <row r="54">
      <c r="A54" t="inlineStr">
        <is>
          <t>T05-250202-079524</t>
        </is>
      </c>
      <c r="B54" s="4" t="n">
        <v>45690</v>
      </c>
      <c r="C54" t="inlineStr">
        <is>
          <t>08:49</t>
        </is>
      </c>
      <c r="D54" t="inlineStr">
        <is>
          <t>Magasin 5 — Kaya Marché</t>
        </is>
      </c>
      <c r="E54" t="inlineStr">
        <is>
          <t>Moussa Ilboudo</t>
        </is>
      </c>
      <c r="F54" t="n">
        <v>10729</v>
      </c>
      <c r="G54" t="inlineStr">
        <is>
          <t>Plâtre de construction 25 kg — réf 1</t>
        </is>
      </c>
      <c r="H54" t="inlineStr">
        <is>
          <t>Matériaux</t>
        </is>
      </c>
      <c r="I54" t="n">
        <v>17</v>
      </c>
      <c r="J54" s="5" t="n">
        <v>4325</v>
      </c>
      <c r="K54" s="6" t="n">
        <v>0</v>
      </c>
      <c r="L54" s="5" t="n">
        <v>73525</v>
      </c>
      <c r="M54" s="5" t="n">
        <v>86759</v>
      </c>
      <c r="N54" s="5">
        <f>ROUND(I54*J54*(1-K54),0)</f>
        <v/>
      </c>
    </row>
    <row r="55">
      <c r="A55" t="inlineStr">
        <is>
          <t>T05-250202-079524</t>
        </is>
      </c>
      <c r="B55" s="4" t="n">
        <v>45690</v>
      </c>
      <c r="C55" t="inlineStr">
        <is>
          <t>16:22</t>
        </is>
      </c>
      <c r="D55" t="inlineStr">
        <is>
          <t>Magasin 5 — Kaya Marché</t>
        </is>
      </c>
      <c r="E55" t="inlineStr">
        <is>
          <t>Salamatu Sankara</t>
        </is>
      </c>
      <c r="F55" t="n">
        <v>15215</v>
      </c>
      <c r="G55" t="inlineStr">
        <is>
          <t>Régulateur de charge 10 A — réf 1</t>
        </is>
      </c>
      <c r="H55" t="inlineStr">
        <is>
          <t>Electricité</t>
        </is>
      </c>
      <c r="I55" t="n">
        <v>48</v>
      </c>
      <c r="J55" s="5" t="n">
        <v>22425</v>
      </c>
      <c r="K55" s="6" t="n">
        <v>0.04</v>
      </c>
      <c r="L55" s="5" t="n">
        <v>1033344</v>
      </c>
      <c r="M55" s="5" t="n">
        <v>1219346</v>
      </c>
      <c r="N55" s="5">
        <f>ROUND(I55*J55*(1-K55),0)</f>
        <v/>
      </c>
    </row>
    <row r="56">
      <c r="A56" t="inlineStr">
        <is>
          <t>T05-250202-079525</t>
        </is>
      </c>
      <c r="B56" s="4" t="n">
        <v>45690</v>
      </c>
      <c r="C56" t="inlineStr">
        <is>
          <t>09:30</t>
        </is>
      </c>
      <c r="D56" t="inlineStr">
        <is>
          <t>Magasin 5 — Kaya Marché</t>
        </is>
      </c>
      <c r="E56" t="inlineStr">
        <is>
          <t>Boureima Ouédraogo</t>
        </is>
      </c>
      <c r="F56" t="n">
        <v>22946</v>
      </c>
      <c r="G56" t="inlineStr">
        <is>
          <t>Pelle carrée — réf 2</t>
        </is>
      </c>
      <c r="H56" t="inlineStr">
        <is>
          <t>Consommables</t>
        </is>
      </c>
      <c r="I56" t="n">
        <v>1</v>
      </c>
      <c r="J56" s="5" t="n">
        <v>5125</v>
      </c>
      <c r="K56" s="6" t="n">
        <v>0.04</v>
      </c>
      <c r="L56" s="5" t="n">
        <v>4920</v>
      </c>
      <c r="M56" s="5" t="n">
        <v>5806</v>
      </c>
      <c r="N56" s="5">
        <f>ROUND(I56*J56*(1-K56),0)</f>
        <v/>
      </c>
    </row>
    <row r="57">
      <c r="A57" t="inlineStr">
        <is>
          <t>T05-250202-079525</t>
        </is>
      </c>
      <c r="B57" s="4" t="n">
        <v>45690</v>
      </c>
      <c r="C57" t="inlineStr">
        <is>
          <t>18:51</t>
        </is>
      </c>
      <c r="D57" t="inlineStr">
        <is>
          <t>Magasin 5 — Kaya Marché</t>
        </is>
      </c>
      <c r="E57" t="inlineStr">
        <is>
          <t>Adama Bationo</t>
        </is>
      </c>
      <c r="F57" t="n">
        <v>16478</v>
      </c>
      <c r="G57" t="inlineStr">
        <is>
          <t>Sable de rivière (m3) — réf 1</t>
        </is>
      </c>
      <c r="H57" t="inlineStr">
        <is>
          <t>Matériaux</t>
        </is>
      </c>
      <c r="I57" t="n">
        <v>2</v>
      </c>
      <c r="J57" s="5" t="n">
        <v>25625</v>
      </c>
      <c r="K57" s="6" t="n">
        <v>0</v>
      </c>
      <c r="L57" s="5" t="n">
        <v>51250</v>
      </c>
      <c r="M57" s="5" t="n">
        <v>60475</v>
      </c>
      <c r="N57" s="5">
        <f>ROUND(I57*J57*(1-K57),0)</f>
        <v/>
      </c>
    </row>
    <row r="58">
      <c r="A58" t="inlineStr">
        <is>
          <t>T05-250202-079526</t>
        </is>
      </c>
      <c r="B58" s="4" t="n">
        <v>45690</v>
      </c>
      <c r="C58" t="inlineStr">
        <is>
          <t>10:35</t>
        </is>
      </c>
      <c r="D58" t="inlineStr">
        <is>
          <t>Magasin 5 — Kaya Marché</t>
        </is>
      </c>
      <c r="E58" t="inlineStr">
        <is>
          <t>Boureima Ouédraogo</t>
        </is>
      </c>
      <c r="F58" t="n">
        <v>22297</v>
      </c>
      <c r="G58" t="inlineStr">
        <is>
          <t>WC complet avec abattant — réf 1</t>
        </is>
      </c>
      <c r="H58" t="inlineStr">
        <is>
          <t>Plomberie</t>
        </is>
      </c>
      <c r="I58" t="n">
        <v>2</v>
      </c>
      <c r="J58" s="5" t="n">
        <v>26300</v>
      </c>
      <c r="K58" s="6" t="n">
        <v>0</v>
      </c>
      <c r="L58" s="5" t="n">
        <v>52600</v>
      </c>
      <c r="M58" s="5" t="n">
        <v>62068</v>
      </c>
      <c r="N58" s="5">
        <f>ROUND(I58*J58*(1-K58),0)</f>
        <v/>
      </c>
    </row>
    <row r="59">
      <c r="A59" t="inlineStr">
        <is>
          <t>T05-250202-079526</t>
        </is>
      </c>
      <c r="B59" s="4" t="n">
        <v>45690</v>
      </c>
      <c r="C59" t="inlineStr">
        <is>
          <t>12:36</t>
        </is>
      </c>
      <c r="D59" t="inlineStr">
        <is>
          <t>Magasin 5 — Kaya Marché</t>
        </is>
      </c>
      <c r="E59" t="inlineStr">
        <is>
          <t>Boureima Ouédraogo</t>
        </is>
      </c>
      <c r="F59" t="n">
        <v>7108</v>
      </c>
      <c r="G59" t="inlineStr">
        <is>
          <t>Marteau de menuisier — réf 1</t>
        </is>
      </c>
      <c r="H59" t="inlineStr">
        <is>
          <t>Quincaillerie</t>
        </is>
      </c>
      <c r="I59" t="n">
        <v>8</v>
      </c>
      <c r="J59" s="5" t="n">
        <v>9550</v>
      </c>
      <c r="K59" s="6" t="n">
        <v>0</v>
      </c>
      <c r="L59" s="5" t="n">
        <v>76400</v>
      </c>
      <c r="M59" s="5" t="n">
        <v>90152</v>
      </c>
      <c r="N59" s="5">
        <f>ROUND(I59*J59*(1-K59),0)</f>
        <v/>
      </c>
    </row>
    <row r="60">
      <c r="A60" t="inlineStr">
        <is>
          <t>T05-250202-079527</t>
        </is>
      </c>
      <c r="B60" s="4" t="n">
        <v>45690</v>
      </c>
      <c r="C60" t="inlineStr">
        <is>
          <t>16:27</t>
        </is>
      </c>
      <c r="D60" t="inlineStr">
        <is>
          <t>Magasin 5 — Kaya Marché</t>
        </is>
      </c>
      <c r="E60" t="inlineStr">
        <is>
          <t>Moussa Ilboudo</t>
        </is>
      </c>
      <c r="F60" t="n">
        <v>10601</v>
      </c>
      <c r="G60" t="inlineStr">
        <is>
          <t>Niveau à bulle 600 mm — réf 1</t>
        </is>
      </c>
      <c r="H60" t="inlineStr">
        <is>
          <t>Quincaillerie</t>
        </is>
      </c>
      <c r="I60" t="n">
        <v>13</v>
      </c>
      <c r="J60" s="5" t="n">
        <v>8900</v>
      </c>
      <c r="K60" s="6" t="n">
        <v>0</v>
      </c>
      <c r="L60" s="5" t="n">
        <v>115700</v>
      </c>
      <c r="M60" s="5" t="n">
        <v>136526</v>
      </c>
      <c r="N60" s="5">
        <f>ROUND(I60*J60*(1-K60),0)</f>
        <v/>
      </c>
    </row>
    <row r="61">
      <c r="A61" t="inlineStr">
        <is>
          <t>T05-250202-079527</t>
        </is>
      </c>
      <c r="B61" s="4" t="n">
        <v>45690</v>
      </c>
      <c r="C61" t="inlineStr">
        <is>
          <t>16:17</t>
        </is>
      </c>
      <c r="D61" t="inlineStr">
        <is>
          <t>Magasin 5 — Kaya Marché</t>
        </is>
      </c>
      <c r="E61" t="inlineStr">
        <is>
          <t>Boureima Ouédraogo</t>
        </is>
      </c>
      <c r="F61" t="n">
        <v>0</v>
      </c>
      <c r="G61" t="inlineStr">
        <is>
          <t>Chaux aérienne 25 kg — réf 1</t>
        </is>
      </c>
      <c r="H61" t="inlineStr">
        <is>
          <t>Matériaux</t>
        </is>
      </c>
      <c r="I61" t="n">
        <v>8</v>
      </c>
      <c r="J61" s="5" t="n">
        <v>5075</v>
      </c>
      <c r="K61" s="6" t="n">
        <v>0</v>
      </c>
      <c r="L61" s="5" t="n">
        <v>40600</v>
      </c>
      <c r="M61" s="5" t="n">
        <v>47908</v>
      </c>
      <c r="N61" s="5">
        <f>ROUND(I61*J61*(1-K61),0)</f>
        <v/>
      </c>
    </row>
    <row r="62">
      <c r="A62" t="inlineStr">
        <is>
          <t>T05-250202-079528</t>
        </is>
      </c>
      <c r="B62" s="4" t="n">
        <v>45690</v>
      </c>
      <c r="C62" t="inlineStr">
        <is>
          <t>11:04</t>
        </is>
      </c>
      <c r="D62" t="inlineStr">
        <is>
          <t>Magasin 5 — Kaya Marché</t>
        </is>
      </c>
      <c r="E62" t="inlineStr">
        <is>
          <t>Boureima Ouédraogo</t>
        </is>
      </c>
      <c r="F62" t="n">
        <v>16696</v>
      </c>
      <c r="G62" t="inlineStr">
        <is>
          <t>Douille E27 avec cordon — réf 1</t>
        </is>
      </c>
      <c r="H62" t="inlineStr">
        <is>
          <t>Electricité</t>
        </is>
      </c>
      <c r="I62" t="n">
        <v>14</v>
      </c>
      <c r="J62" s="5" t="n">
        <v>11975</v>
      </c>
      <c r="K62" s="6" t="n">
        <v>0.08</v>
      </c>
      <c r="L62" s="5" t="n">
        <v>154238</v>
      </c>
      <c r="M62" s="5" t="n">
        <v>182001</v>
      </c>
      <c r="N62" s="5">
        <f>ROUND(I62*J62*(1-K62),0)</f>
        <v/>
      </c>
    </row>
    <row r="63">
      <c r="A63" t="inlineStr">
        <is>
          <t>T05-250202-079528</t>
        </is>
      </c>
      <c r="B63" s="4" t="n">
        <v>45690</v>
      </c>
      <c r="C63" t="inlineStr">
        <is>
          <t>10:49</t>
        </is>
      </c>
      <c r="D63" t="inlineStr">
        <is>
          <t>Magasin 5 — Kaya Marché</t>
        </is>
      </c>
      <c r="E63" t="inlineStr">
        <is>
          <t>Adama Bationo</t>
        </is>
      </c>
      <c r="F63" t="n">
        <v>0</v>
      </c>
      <c r="G63" t="inlineStr">
        <is>
          <t>Régulateur de charge 10 A — réf 1</t>
        </is>
      </c>
      <c r="H63" t="inlineStr">
        <is>
          <t>Electricité</t>
        </is>
      </c>
      <c r="I63" t="n">
        <v>2</v>
      </c>
      <c r="J63" s="5" t="n">
        <v>21875</v>
      </c>
      <c r="K63" s="6" t="n">
        <v>0</v>
      </c>
      <c r="L63" s="5" t="n">
        <v>43750</v>
      </c>
      <c r="M63" s="5" t="n">
        <v>51625</v>
      </c>
      <c r="N63" s="5">
        <f>ROUND(I63*J63*(1-K63),0)</f>
        <v/>
      </c>
    </row>
    <row r="64">
      <c r="A64" t="inlineStr">
        <is>
          <t>T05-250203-079672</t>
        </is>
      </c>
      <c r="B64" s="4" t="n">
        <v>45691</v>
      </c>
      <c r="C64" t="inlineStr">
        <is>
          <t>07:21</t>
        </is>
      </c>
      <c r="D64" t="inlineStr">
        <is>
          <t>Magasin 5 — Kaya Marché</t>
        </is>
      </c>
      <c r="E64" t="inlineStr">
        <is>
          <t>Adama Bationo</t>
        </is>
      </c>
      <c r="F64" t="n">
        <v>7419</v>
      </c>
      <c r="G64" t="inlineStr">
        <is>
          <t>Lampe solaire murale — réf 1</t>
        </is>
      </c>
      <c r="H64" t="inlineStr">
        <is>
          <t>Electricité</t>
        </is>
      </c>
      <c r="I64" t="n">
        <v>1</v>
      </c>
      <c r="J64" s="5" t="n">
        <v>10300</v>
      </c>
      <c r="K64" s="6" t="n">
        <v>0</v>
      </c>
      <c r="L64" s="5" t="n">
        <v>10300</v>
      </c>
      <c r="M64" s="5" t="n">
        <v>12154</v>
      </c>
      <c r="N64" s="5">
        <f>ROUND(I64*J64*(1-K64),0)</f>
        <v/>
      </c>
    </row>
    <row r="65">
      <c r="A65" t="inlineStr">
        <is>
          <t>T05-250203-079673</t>
        </is>
      </c>
      <c r="B65" s="4" t="n">
        <v>45691</v>
      </c>
      <c r="C65" t="inlineStr">
        <is>
          <t>17:46</t>
        </is>
      </c>
      <c r="D65" t="inlineStr">
        <is>
          <t>Magasin 5 — Kaya Marché</t>
        </is>
      </c>
      <c r="E65" t="inlineStr">
        <is>
          <t>Boureima Ouédraogo</t>
        </is>
      </c>
      <c r="F65" t="n">
        <v>13264</v>
      </c>
      <c r="G65" t="inlineStr">
        <is>
          <t>Pavé autobloquant — réf 1</t>
        </is>
      </c>
      <c r="H65" t="inlineStr">
        <is>
          <t>Matériaux</t>
        </is>
      </c>
      <c r="I65" t="n">
        <v>2</v>
      </c>
      <c r="J65" s="5" t="n">
        <v>1125</v>
      </c>
      <c r="K65" s="6" t="n">
        <v>0</v>
      </c>
      <c r="L65" s="5" t="n">
        <v>2250</v>
      </c>
      <c r="M65" s="5" t="n">
        <v>2655</v>
      </c>
      <c r="N65" s="5">
        <f>ROUND(I65*J65*(1-K65),0)</f>
        <v/>
      </c>
    </row>
    <row r="66">
      <c r="A66" t="inlineStr">
        <is>
          <t>T05-250203-079674</t>
        </is>
      </c>
      <c r="B66" s="4" t="n">
        <v>45691</v>
      </c>
      <c r="C66" t="inlineStr">
        <is>
          <t>13:12</t>
        </is>
      </c>
      <c r="D66" t="inlineStr">
        <is>
          <t>Magasin 5 — Kaya Marché</t>
        </is>
      </c>
      <c r="E66" t="inlineStr">
        <is>
          <t>Boureima Ouédraogo</t>
        </is>
      </c>
      <c r="F66" t="n">
        <v>0</v>
      </c>
      <c r="G66" t="inlineStr">
        <is>
          <t>Robinet mitigeur évier — réf 2</t>
        </is>
      </c>
      <c r="H66" t="inlineStr">
        <is>
          <t>Plomberie</t>
        </is>
      </c>
      <c r="I66" t="n">
        <v>25</v>
      </c>
      <c r="J66" s="5" t="n">
        <v>34800</v>
      </c>
      <c r="K66" s="6" t="n">
        <v>0</v>
      </c>
      <c r="L66" s="5" t="n">
        <v>870000</v>
      </c>
      <c r="M66" s="5" t="n">
        <v>1026600</v>
      </c>
      <c r="N66" s="5">
        <f>ROUND(I66*J66*(1-K66),0)</f>
        <v/>
      </c>
    </row>
    <row r="67">
      <c r="A67" t="inlineStr">
        <is>
          <t>T05-250203-079675</t>
        </is>
      </c>
      <c r="B67" s="4" t="n">
        <v>45691</v>
      </c>
      <c r="C67" t="inlineStr">
        <is>
          <t>10:37</t>
        </is>
      </c>
      <c r="D67" t="inlineStr">
        <is>
          <t>Magasin 5 — Kaya Marché</t>
        </is>
      </c>
      <c r="E67" t="inlineStr">
        <is>
          <t>Adama Bationo</t>
        </is>
      </c>
      <c r="F67" t="n">
        <v>17377</v>
      </c>
      <c r="G67" t="inlineStr">
        <is>
          <t>Lunettes de protection — réf 2</t>
        </is>
      </c>
      <c r="H67" t="inlineStr">
        <is>
          <t>Consommables</t>
        </is>
      </c>
      <c r="I67" t="n">
        <v>2</v>
      </c>
      <c r="J67" s="5" t="n">
        <v>4900</v>
      </c>
      <c r="K67" s="6" t="n">
        <v>0</v>
      </c>
      <c r="L67" s="5" t="n">
        <v>9800</v>
      </c>
      <c r="M67" s="5" t="n">
        <v>11564</v>
      </c>
      <c r="N67" s="5">
        <f>ROUND(I67*J67*(1-K67),0)</f>
        <v/>
      </c>
    </row>
    <row r="68">
      <c r="A68" t="inlineStr">
        <is>
          <t>T05-250203-079676</t>
        </is>
      </c>
      <c r="B68" s="4" t="n">
        <v>45691</v>
      </c>
      <c r="C68" t="inlineStr">
        <is>
          <t>17:59</t>
        </is>
      </c>
      <c r="D68" t="inlineStr">
        <is>
          <t>Magasin 5 — Kaya Marché</t>
        </is>
      </c>
      <c r="E68" t="inlineStr">
        <is>
          <t>Boureima Ouédraogo</t>
        </is>
      </c>
      <c r="F68" t="n">
        <v>11559</v>
      </c>
      <c r="G68" t="inlineStr">
        <is>
          <t>Vernis marin 1 L — réf 1</t>
        </is>
      </c>
      <c r="H68" t="inlineStr">
        <is>
          <t>Peinture</t>
        </is>
      </c>
      <c r="I68" t="n">
        <v>9</v>
      </c>
      <c r="J68" s="5" t="n">
        <v>5600</v>
      </c>
      <c r="K68" s="6" t="n">
        <v>0</v>
      </c>
      <c r="L68" s="5" t="n">
        <v>50400</v>
      </c>
      <c r="M68" s="5" t="n">
        <v>59472</v>
      </c>
      <c r="N68" s="5">
        <f>ROUND(I68*J68*(1-K68),0)</f>
        <v/>
      </c>
    </row>
    <row r="69">
      <c r="A69" t="inlineStr">
        <is>
          <t>T05-250203-079677</t>
        </is>
      </c>
      <c r="B69" s="4" t="n">
        <v>45691</v>
      </c>
      <c r="C69" t="inlineStr">
        <is>
          <t>08:52</t>
        </is>
      </c>
      <c r="D69" t="inlineStr">
        <is>
          <t>Magasin 5 — Kaya Marché</t>
        </is>
      </c>
      <c r="E69" t="inlineStr">
        <is>
          <t>Boureima Ouédraogo</t>
        </is>
      </c>
      <c r="F69" t="n">
        <v>4982</v>
      </c>
      <c r="G69" t="inlineStr">
        <is>
          <t>Lame de lambris 4 m — réf 1</t>
        </is>
      </c>
      <c r="H69" t="inlineStr">
        <is>
          <t>Bois &amp; panneaux</t>
        </is>
      </c>
      <c r="I69" t="n">
        <v>9</v>
      </c>
      <c r="J69" s="5" t="n">
        <v>10700</v>
      </c>
      <c r="K69" s="6" t="n">
        <v>0</v>
      </c>
      <c r="L69" s="5" t="n">
        <v>96300</v>
      </c>
      <c r="M69" s="5" t="n">
        <v>113634</v>
      </c>
      <c r="N69" s="5">
        <f>ROUND(I69*J69*(1-K69),0)</f>
        <v/>
      </c>
    </row>
    <row r="70">
      <c r="A70" t="inlineStr">
        <is>
          <t>T05-250203-079678</t>
        </is>
      </c>
      <c r="B70" s="4" t="n">
        <v>45691</v>
      </c>
      <c r="C70" t="inlineStr">
        <is>
          <t>09:38</t>
        </is>
      </c>
      <c r="D70" t="inlineStr">
        <is>
          <t>Magasin 5 — Kaya Marché</t>
        </is>
      </c>
      <c r="E70" t="inlineStr">
        <is>
          <t>Salamatu Sankara</t>
        </is>
      </c>
      <c r="F70" t="n">
        <v>12648</v>
      </c>
      <c r="G70" t="inlineStr">
        <is>
          <t>Écrou hexagonal 10 (sachet) — réf 1</t>
        </is>
      </c>
      <c r="H70" t="inlineStr">
        <is>
          <t>Quincaillerie</t>
        </is>
      </c>
      <c r="I70" t="n">
        <v>16</v>
      </c>
      <c r="J70" s="5" t="n">
        <v>1450</v>
      </c>
      <c r="K70" s="6" t="n">
        <v>0</v>
      </c>
      <c r="L70" s="5" t="n">
        <v>23200</v>
      </c>
      <c r="M70" s="5" t="n">
        <v>27376</v>
      </c>
      <c r="N70" s="5">
        <f>ROUND(I70*J70*(1-K70),0)</f>
        <v/>
      </c>
    </row>
    <row r="71">
      <c r="A71" t="inlineStr">
        <is>
          <t>T05-250203-079679</t>
        </is>
      </c>
      <c r="B71" s="4" t="n">
        <v>45691</v>
      </c>
      <c r="C71" t="inlineStr">
        <is>
          <t>14:03</t>
        </is>
      </c>
      <c r="D71" t="inlineStr">
        <is>
          <t>Magasin 5 — Kaya Marché</t>
        </is>
      </c>
      <c r="E71" t="inlineStr">
        <is>
          <t>Moussa Ilboudo</t>
        </is>
      </c>
      <c r="F71" t="n">
        <v>0</v>
      </c>
      <c r="G71" t="inlineStr">
        <is>
          <t>Brouette en kit — réf 2</t>
        </is>
      </c>
      <c r="H71" t="inlineStr">
        <is>
          <t>Consommables</t>
        </is>
      </c>
      <c r="I71" t="n">
        <v>5</v>
      </c>
      <c r="J71" s="5" t="n">
        <v>9250</v>
      </c>
      <c r="K71" s="6" t="n">
        <v>0</v>
      </c>
      <c r="L71" s="5" t="n">
        <v>46250</v>
      </c>
      <c r="M71" s="5" t="n">
        <v>54575</v>
      </c>
      <c r="N71" s="5">
        <f>ROUND(I71*J71*(1-K71),0)</f>
        <v/>
      </c>
    </row>
    <row r="72">
      <c r="A72" t="inlineStr">
        <is>
          <t>T05-250203-079680</t>
        </is>
      </c>
      <c r="B72" s="4" t="n">
        <v>45691</v>
      </c>
      <c r="C72" t="inlineStr">
        <is>
          <t>13:49</t>
        </is>
      </c>
      <c r="D72" t="inlineStr">
        <is>
          <t>Magasin 5 — Kaya Marché</t>
        </is>
      </c>
      <c r="E72" t="inlineStr">
        <is>
          <t>Boureima Ouédraogo</t>
        </is>
      </c>
      <c r="F72" t="n">
        <v>0</v>
      </c>
      <c r="G72" t="inlineStr">
        <is>
          <t>Tout-venant (m3) — réf 1</t>
        </is>
      </c>
      <c r="H72" t="inlineStr">
        <is>
          <t>Matériaux</t>
        </is>
      </c>
      <c r="I72" t="n">
        <v>2</v>
      </c>
      <c r="J72" s="5" t="n">
        <v>16300</v>
      </c>
      <c r="K72" s="6" t="n">
        <v>0</v>
      </c>
      <c r="L72" s="5" t="n">
        <v>32600</v>
      </c>
      <c r="M72" s="5" t="n">
        <v>38468</v>
      </c>
      <c r="N72" s="5">
        <f>ROUND(I72*J72*(1-K72),0)</f>
        <v/>
      </c>
    </row>
    <row r="73">
      <c r="A73" t="inlineStr">
        <is>
          <t>T05-250203-079681</t>
        </is>
      </c>
      <c r="B73" s="4" t="n">
        <v>45691</v>
      </c>
      <c r="C73" t="inlineStr">
        <is>
          <t>07:33</t>
        </is>
      </c>
      <c r="D73" t="inlineStr">
        <is>
          <t>Magasin 5 — Kaya Marché</t>
        </is>
      </c>
      <c r="E73" t="inlineStr">
        <is>
          <t>Salamatu Sankara</t>
        </is>
      </c>
      <c r="F73" t="n">
        <v>23278</v>
      </c>
      <c r="G73" t="inlineStr">
        <is>
          <t>Antirouille rouge brique 1 L — réf 2</t>
        </is>
      </c>
      <c r="H73" t="inlineStr">
        <is>
          <t>Peinture</t>
        </is>
      </c>
      <c r="I73" t="n">
        <v>3</v>
      </c>
      <c r="J73" s="5" t="n">
        <v>6800</v>
      </c>
      <c r="K73" s="6" t="n">
        <v>0.03</v>
      </c>
      <c r="L73" s="5" t="n">
        <v>19788</v>
      </c>
      <c r="M73" s="5" t="n">
        <v>23350</v>
      </c>
      <c r="N73" s="5">
        <f>ROUND(I73*J73*(1-K73),0)</f>
        <v/>
      </c>
    </row>
    <row r="74">
      <c r="A74" t="inlineStr">
        <is>
          <t>T05-250203-079682</t>
        </is>
      </c>
      <c r="B74" s="4" t="n">
        <v>45691</v>
      </c>
      <c r="C74" t="inlineStr">
        <is>
          <t>16:45</t>
        </is>
      </c>
      <c r="D74" t="inlineStr">
        <is>
          <t>Magasin 5 — Kaya Marché</t>
        </is>
      </c>
      <c r="E74" t="inlineStr">
        <is>
          <t>Moussa Ilboudo</t>
        </is>
      </c>
      <c r="F74" t="inlineStr"/>
      <c r="G74" t="inlineStr">
        <is>
          <t>Gants anti-coupure (paire) — réf 1</t>
        </is>
      </c>
      <c r="H74" t="inlineStr">
        <is>
          <t>Consommables</t>
        </is>
      </c>
      <c r="I74" t="n">
        <v>6</v>
      </c>
      <c r="J74" s="5" t="n">
        <v>8925</v>
      </c>
      <c r="K74" s="6" t="n">
        <v>0</v>
      </c>
      <c r="L74" s="5" t="n">
        <v>53550</v>
      </c>
      <c r="M74" s="5" t="n">
        <v>63189</v>
      </c>
      <c r="N74" s="5">
        <f>ROUND(I74*J74*(1-K74),0)</f>
        <v/>
      </c>
    </row>
    <row r="75">
      <c r="A75" t="inlineStr">
        <is>
          <t>T05-250203-079683</t>
        </is>
      </c>
      <c r="B75" s="4" t="n">
        <v>45691</v>
      </c>
      <c r="C75" t="inlineStr">
        <is>
          <t>10:30</t>
        </is>
      </c>
      <c r="D75" t="inlineStr">
        <is>
          <t>Magasin 5 — Kaya Marché</t>
        </is>
      </c>
      <c r="E75" t="inlineStr">
        <is>
          <t>Salamatu Sankara</t>
        </is>
      </c>
      <c r="F75" t="n">
        <v>9467</v>
      </c>
      <c r="G75" t="inlineStr">
        <is>
          <t>Clé plate 13 — réf 1</t>
        </is>
      </c>
      <c r="H75" t="inlineStr">
        <is>
          <t>Quincaillerie</t>
        </is>
      </c>
      <c r="I75" t="n">
        <v>3</v>
      </c>
      <c r="J75" s="5" t="n">
        <v>9725</v>
      </c>
      <c r="K75" s="6" t="n">
        <v>0</v>
      </c>
      <c r="L75" s="5" t="n">
        <v>29175</v>
      </c>
      <c r="M75" s="5" t="n">
        <v>34427</v>
      </c>
      <c r="N75" s="5">
        <f>ROUND(I75*J75*(1-K75),0)</f>
        <v/>
      </c>
    </row>
    <row r="76">
      <c r="A76" t="inlineStr">
        <is>
          <t>T05-250203-079684</t>
        </is>
      </c>
      <c r="B76" s="4" t="n">
        <v>45691</v>
      </c>
      <c r="C76" t="inlineStr">
        <is>
          <t>11:32</t>
        </is>
      </c>
      <c r="D76" t="inlineStr">
        <is>
          <t>Magasin 5 — Kaya Marché</t>
        </is>
      </c>
      <c r="E76" t="inlineStr">
        <is>
          <t>Salamatu Sankara</t>
        </is>
      </c>
      <c r="F76" t="n">
        <v>11926</v>
      </c>
      <c r="G76" t="inlineStr">
        <is>
          <t>Brique de terre cuite — réf 1</t>
        </is>
      </c>
      <c r="H76" t="inlineStr">
        <is>
          <t>Matériaux</t>
        </is>
      </c>
      <c r="I76" t="n">
        <v>4</v>
      </c>
      <c r="J76" s="5" t="n">
        <v>1050</v>
      </c>
      <c r="K76" s="6" t="n">
        <v>0.04</v>
      </c>
      <c r="L76" s="5" t="n">
        <v>4032</v>
      </c>
      <c r="M76" s="5" t="n">
        <v>4758</v>
      </c>
      <c r="N76" s="5">
        <f>ROUND(I76*J76*(1-K76),0)</f>
        <v/>
      </c>
    </row>
    <row r="77">
      <c r="A77" t="inlineStr">
        <is>
          <t>T05-250203-079685</t>
        </is>
      </c>
      <c r="B77" s="4" t="n">
        <v>45691</v>
      </c>
      <c r="C77" t="inlineStr">
        <is>
          <t>15:11</t>
        </is>
      </c>
      <c r="D77" t="inlineStr">
        <is>
          <t>Magasin 5 — Kaya Marché</t>
        </is>
      </c>
      <c r="E77" t="inlineStr">
        <is>
          <t>Salamatu Sankara</t>
        </is>
      </c>
      <c r="F77" t="n">
        <v>756</v>
      </c>
      <c r="G77" t="inlineStr">
        <is>
          <t>Carreau de pavement 40x40 — réf 1</t>
        </is>
      </c>
      <c r="H77" t="inlineStr">
        <is>
          <t>Matériaux</t>
        </is>
      </c>
      <c r="I77" t="n">
        <v>5</v>
      </c>
      <c r="J77" s="5" t="n">
        <v>1075</v>
      </c>
      <c r="K77" s="6" t="n">
        <v>0</v>
      </c>
      <c r="L77" s="5" t="n">
        <v>5375</v>
      </c>
      <c r="M77" s="5" t="n">
        <v>6343</v>
      </c>
      <c r="N77" s="5">
        <f>ROUND(I77*J77*(1-K77),0)</f>
        <v/>
      </c>
    </row>
    <row r="78">
      <c r="A78" t="inlineStr">
        <is>
          <t>T05-250203-079686</t>
        </is>
      </c>
      <c r="B78" s="4" t="n">
        <v>45691</v>
      </c>
      <c r="C78" t="inlineStr">
        <is>
          <t>14:03</t>
        </is>
      </c>
      <c r="D78" t="inlineStr">
        <is>
          <t>Magasin 5 — Kaya Marché</t>
        </is>
      </c>
      <c r="E78" t="inlineStr">
        <is>
          <t>Moussa Ilboudo</t>
        </is>
      </c>
      <c r="F78" t="n">
        <v>5532</v>
      </c>
      <c r="G78" t="inlineStr">
        <is>
          <t>Vernis marin 1 L — réf 1</t>
        </is>
      </c>
      <c r="H78" t="inlineStr">
        <is>
          <t>Peinture</t>
        </is>
      </c>
      <c r="I78" t="n">
        <v>6</v>
      </c>
      <c r="J78" s="5" t="n">
        <v>5800</v>
      </c>
      <c r="K78" s="6" t="n">
        <v>0</v>
      </c>
      <c r="L78" s="5" t="n">
        <v>34800</v>
      </c>
      <c r="M78" s="5" t="n">
        <v>41064</v>
      </c>
      <c r="N78" s="5">
        <f>ROUND(I78*J78*(1-K78),0)</f>
        <v/>
      </c>
    </row>
    <row r="79">
      <c r="A79" t="inlineStr">
        <is>
          <t>T05-250203-079687</t>
        </is>
      </c>
      <c r="B79" s="4" t="n">
        <v>45691</v>
      </c>
      <c r="C79" t="inlineStr">
        <is>
          <t>18:08</t>
        </is>
      </c>
      <c r="D79" t="inlineStr">
        <is>
          <t>Magasin 5 — Kaya Marché</t>
        </is>
      </c>
      <c r="E79" t="inlineStr">
        <is>
          <t>Adama Bationo</t>
        </is>
      </c>
      <c r="F79" t="n">
        <v>22119</v>
      </c>
      <c r="G79" t="inlineStr">
        <is>
          <t>Bêche à manche bois — réf 1</t>
        </is>
      </c>
      <c r="H79" t="inlineStr">
        <is>
          <t>Consommables</t>
        </is>
      </c>
      <c r="I79" t="n">
        <v>4</v>
      </c>
      <c r="J79" s="5" t="n">
        <v>5175</v>
      </c>
      <c r="K79" s="6" t="n">
        <v>0</v>
      </c>
      <c r="L79" s="5" t="n">
        <v>20700</v>
      </c>
      <c r="M79" s="5" t="n">
        <v>24426</v>
      </c>
      <c r="N79" s="5">
        <f>ROUND(I79*J79*(1-K79),0)</f>
        <v/>
      </c>
    </row>
    <row r="80">
      <c r="A80" t="inlineStr">
        <is>
          <t>T05-250203-079688</t>
        </is>
      </c>
      <c r="B80" s="4" t="n">
        <v>45691</v>
      </c>
      <c r="C80" t="inlineStr">
        <is>
          <t>17:18</t>
        </is>
      </c>
      <c r="D80" t="inlineStr">
        <is>
          <t>Magasin 5 — Kaya Marché</t>
        </is>
      </c>
      <c r="E80" t="inlineStr">
        <is>
          <t>Adama Bationo</t>
        </is>
      </c>
      <c r="F80" t="n">
        <v>10043</v>
      </c>
      <c r="G80" t="inlineStr">
        <is>
          <t>Gravier 15/25 (m3) — réf 1</t>
        </is>
      </c>
      <c r="H80" t="inlineStr">
        <is>
          <t>Matériaux</t>
        </is>
      </c>
      <c r="I80" t="n">
        <v>2</v>
      </c>
      <c r="J80" s="5" t="n">
        <v>31200</v>
      </c>
      <c r="K80" s="6" t="n">
        <v>0.08</v>
      </c>
      <c r="L80" s="5" t="n">
        <v>57408</v>
      </c>
      <c r="M80" s="5" t="n">
        <v>67741</v>
      </c>
      <c r="N80" s="5">
        <f>ROUND(I80*J80*(1-K80),0)</f>
        <v/>
      </c>
    </row>
    <row r="81">
      <c r="A81" t="inlineStr">
        <is>
          <t>T05-250203-079689</t>
        </is>
      </c>
      <c r="B81" s="4" t="n">
        <v>45691</v>
      </c>
      <c r="C81" t="inlineStr">
        <is>
          <t>09:39</t>
        </is>
      </c>
      <c r="D81" t="inlineStr">
        <is>
          <t>Magasin 5 — Kaya Marché</t>
        </is>
      </c>
      <c r="E81" t="inlineStr">
        <is>
          <t>Boureima Ouédraogo</t>
        </is>
      </c>
      <c r="F81" t="n">
        <v>14715</v>
      </c>
      <c r="G81" t="inlineStr">
        <is>
          <t>Robinet mitigeur évier — réf 2</t>
        </is>
      </c>
      <c r="H81" t="inlineStr">
        <is>
          <t>Plomberie</t>
        </is>
      </c>
      <c r="I81" t="n">
        <v>5</v>
      </c>
      <c r="J81" s="5" t="n">
        <v>36200</v>
      </c>
      <c r="K81" s="6" t="n">
        <v>0.04</v>
      </c>
      <c r="L81" s="5" t="n">
        <v>173760</v>
      </c>
      <c r="M81" s="5" t="n">
        <v>205037</v>
      </c>
      <c r="N81" s="5">
        <f>ROUND(I81*J81*(1-K81),0)</f>
        <v/>
      </c>
    </row>
    <row r="82">
      <c r="A82" t="inlineStr">
        <is>
          <t>T05-250301-082692</t>
        </is>
      </c>
      <c r="B82" s="4" t="n">
        <v>45717</v>
      </c>
      <c r="C82" t="inlineStr">
        <is>
          <t>13:52</t>
        </is>
      </c>
      <c r="D82" t="inlineStr">
        <is>
          <t>Magasin 5 — Kaya Marché</t>
        </is>
      </c>
      <c r="E82" t="inlineStr">
        <is>
          <t>Moussa Ilboudo</t>
        </is>
      </c>
      <c r="F82" t="n">
        <v>19875</v>
      </c>
      <c r="G82" t="inlineStr">
        <is>
          <t>Tournevis cruciforme PH2 — réf 1</t>
        </is>
      </c>
      <c r="H82" t="inlineStr">
        <is>
          <t>Quincaillerie</t>
        </is>
      </c>
      <c r="I82" t="n">
        <v>3</v>
      </c>
      <c r="J82" s="5" t="n">
        <v>8200</v>
      </c>
      <c r="K82" s="6" t="n">
        <v>0.04</v>
      </c>
      <c r="L82" s="5" t="n">
        <v>23616</v>
      </c>
      <c r="M82" s="5" t="n">
        <v>27867</v>
      </c>
      <c r="N82" s="5">
        <f>ROUND(I82*J82*(1-K82),0)</f>
        <v/>
      </c>
    </row>
    <row r="83">
      <c r="A83" t="inlineStr">
        <is>
          <t>T05-250301-082693</t>
        </is>
      </c>
      <c r="B83" s="4" t="n">
        <v>45717</v>
      </c>
      <c r="C83" t="inlineStr">
        <is>
          <t>18:17</t>
        </is>
      </c>
      <c r="D83" t="inlineStr">
        <is>
          <t>Magasin 5 — Kaya Marché</t>
        </is>
      </c>
      <c r="E83" t="inlineStr">
        <is>
          <t>Salamatu Sankara</t>
        </is>
      </c>
      <c r="F83" t="n">
        <v>12170</v>
      </c>
      <c r="G83" t="inlineStr">
        <is>
          <t>Diluant nitro 5 L — réf 2</t>
        </is>
      </c>
      <c r="H83" t="inlineStr">
        <is>
          <t>Peinture</t>
        </is>
      </c>
      <c r="I83" t="n">
        <v>27</v>
      </c>
      <c r="J83" s="5" t="n">
        <v>4375</v>
      </c>
      <c r="K83" s="6" t="n">
        <v>0</v>
      </c>
      <c r="L83" s="5" t="n">
        <v>118125</v>
      </c>
      <c r="M83" s="5" t="n">
        <v>139387</v>
      </c>
      <c r="N83" s="5">
        <f>ROUND(I83*J83*(1-K83),0)</f>
        <v/>
      </c>
    </row>
    <row r="84">
      <c r="A84" t="inlineStr">
        <is>
          <t>T05-250301-082694</t>
        </is>
      </c>
      <c r="B84" s="4" t="n">
        <v>45717</v>
      </c>
      <c r="C84" t="inlineStr">
        <is>
          <t>15:12</t>
        </is>
      </c>
      <c r="D84" t="inlineStr">
        <is>
          <t>Magasin 5 — Kaya Marché</t>
        </is>
      </c>
      <c r="E84" t="inlineStr">
        <is>
          <t>Salamatu Sankara</t>
        </is>
      </c>
      <c r="F84" t="n">
        <v>19501</v>
      </c>
      <c r="G84" t="inlineStr">
        <is>
          <t>Parpaing 15 aggloméré — réf 1</t>
        </is>
      </c>
      <c r="H84" t="inlineStr">
        <is>
          <t>Matériaux</t>
        </is>
      </c>
      <c r="I84" t="n">
        <v>2</v>
      </c>
      <c r="J84" s="5" t="n">
        <v>1500</v>
      </c>
      <c r="K84" s="6" t="n">
        <v>0.04</v>
      </c>
      <c r="L84" s="5" t="n">
        <v>2880</v>
      </c>
      <c r="M84" s="5" t="n">
        <v>3398</v>
      </c>
      <c r="N84" s="5">
        <f>ROUND(I84*J84*(1-K84),0)</f>
        <v/>
      </c>
    </row>
    <row r="85">
      <c r="A85" t="inlineStr">
        <is>
          <t>T05-250301-082695</t>
        </is>
      </c>
      <c r="B85" s="4" t="n">
        <v>45717</v>
      </c>
      <c r="C85" t="inlineStr">
        <is>
          <t>12:20</t>
        </is>
      </c>
      <c r="D85" t="inlineStr">
        <is>
          <t>Magasin 5 — Kaya Marché</t>
        </is>
      </c>
      <c r="E85" t="inlineStr">
        <is>
          <t>Moussa Ilboudo</t>
        </is>
      </c>
      <c r="F85" t="n">
        <v>5578</v>
      </c>
      <c r="G85" t="inlineStr">
        <is>
          <t>Pavé autobloquant — réf 2</t>
        </is>
      </c>
      <c r="H85" t="inlineStr">
        <is>
          <t>Matériaux</t>
        </is>
      </c>
      <c r="I85" t="n">
        <v>2</v>
      </c>
      <c r="J85" s="5" t="n">
        <v>675</v>
      </c>
      <c r="K85" s="6" t="n">
        <v>0.03</v>
      </c>
      <c r="L85" s="5" t="n">
        <v>1310</v>
      </c>
      <c r="M85" s="5" t="n">
        <v>1546</v>
      </c>
      <c r="N85" s="5">
        <f>ROUND(I85*J85*(1-K85),0)</f>
        <v/>
      </c>
    </row>
    <row r="86">
      <c r="A86" t="inlineStr">
        <is>
          <t>T05-250301-082696</t>
        </is>
      </c>
      <c r="B86" s="4" t="n">
        <v>45717</v>
      </c>
      <c r="C86" t="inlineStr">
        <is>
          <t>15:07</t>
        </is>
      </c>
      <c r="D86" t="inlineStr">
        <is>
          <t>Magasin 5 — Kaya Marché</t>
        </is>
      </c>
      <c r="E86" t="inlineStr">
        <is>
          <t>Adama Bationo</t>
        </is>
      </c>
      <c r="F86" t="n">
        <v>6420</v>
      </c>
      <c r="G86" t="inlineStr">
        <is>
          <t>Brique de terre cuite — réf 2</t>
        </is>
      </c>
      <c r="H86" t="inlineStr">
        <is>
          <t>Matériaux</t>
        </is>
      </c>
      <c r="I86" t="n">
        <v>1</v>
      </c>
      <c r="J86" s="5" t="n">
        <v>675</v>
      </c>
      <c r="K86" s="6" t="n">
        <v>0</v>
      </c>
      <c r="L86" s="5" t="n">
        <v>675</v>
      </c>
      <c r="M86" s="5" t="n">
        <v>797</v>
      </c>
      <c r="N86" s="5">
        <f>ROUND(I86*J86*(1-K86),0)</f>
        <v/>
      </c>
    </row>
    <row r="87">
      <c r="A87" t="inlineStr">
        <is>
          <t>T05-250301-082697</t>
        </is>
      </c>
      <c r="B87" s="4" t="n">
        <v>45717</v>
      </c>
      <c r="C87" t="inlineStr">
        <is>
          <t>09:49</t>
        </is>
      </c>
      <c r="D87" t="inlineStr">
        <is>
          <t>Magasin 5 — Kaya Marché</t>
        </is>
      </c>
      <c r="E87" t="inlineStr">
        <is>
          <t>Salamatu Sankara</t>
        </is>
      </c>
      <c r="F87" t="n">
        <v>0</v>
      </c>
      <c r="G87" t="inlineStr">
        <is>
          <t>Casque de chantier — réf 1</t>
        </is>
      </c>
      <c r="H87" t="inlineStr">
        <is>
          <t>Consommables</t>
        </is>
      </c>
      <c r="I87" t="n">
        <v>7</v>
      </c>
      <c r="J87" s="5" t="n">
        <v>8250</v>
      </c>
      <c r="K87" s="6" t="n">
        <v>0</v>
      </c>
      <c r="L87" s="5" t="n">
        <v>57750</v>
      </c>
      <c r="M87" s="5" t="n">
        <v>68145</v>
      </c>
      <c r="N87" s="5">
        <f>ROUND(I87*J87*(1-K87),0)</f>
        <v/>
      </c>
    </row>
    <row r="88">
      <c r="A88" t="inlineStr">
        <is>
          <t>T05-250301-082698</t>
        </is>
      </c>
      <c r="B88" s="4" t="n">
        <v>45717</v>
      </c>
      <c r="C88" t="inlineStr">
        <is>
          <t>10:13</t>
        </is>
      </c>
      <c r="D88" t="inlineStr">
        <is>
          <t>Magasin 5 — Kaya Marché</t>
        </is>
      </c>
      <c r="E88" t="inlineStr">
        <is>
          <t>Salamatu Sankara</t>
        </is>
      </c>
      <c r="F88" t="n">
        <v>0</v>
      </c>
      <c r="G88" t="inlineStr">
        <is>
          <t>Ciment CPJ35 50 kg — réf 1</t>
        </is>
      </c>
      <c r="H88" t="inlineStr">
        <is>
          <t>Matériaux</t>
        </is>
      </c>
      <c r="I88" t="n">
        <v>7</v>
      </c>
      <c r="J88" s="5" t="n">
        <v>6075</v>
      </c>
      <c r="K88" s="6" t="n">
        <v>0</v>
      </c>
      <c r="L88" s="5" t="n">
        <v>42525</v>
      </c>
      <c r="M88" s="5" t="n">
        <v>50179</v>
      </c>
      <c r="N88" s="5">
        <f>ROUND(I88*J88*(1-K88),0)</f>
        <v/>
      </c>
    </row>
    <row r="89">
      <c r="A89" t="inlineStr">
        <is>
          <t>T05-250301-082699</t>
        </is>
      </c>
      <c r="B89" s="4" t="n">
        <v>45717</v>
      </c>
      <c r="C89" t="inlineStr">
        <is>
          <t>14:52</t>
        </is>
      </c>
      <c r="D89" t="inlineStr">
        <is>
          <t>Magasin 5 — Kaya Marché</t>
        </is>
      </c>
      <c r="E89" t="inlineStr">
        <is>
          <t>Adama Bationo</t>
        </is>
      </c>
      <c r="F89" t="n">
        <v>0</v>
      </c>
      <c r="G89" t="inlineStr">
        <is>
          <t>WC complet avec abattant — réf 1</t>
        </is>
      </c>
      <c r="H89" t="inlineStr">
        <is>
          <t>Plomberie</t>
        </is>
      </c>
      <c r="I89" t="n">
        <v>10</v>
      </c>
      <c r="J89" s="5" t="n">
        <v>26000</v>
      </c>
      <c r="K89" s="6" t="n">
        <v>0</v>
      </c>
      <c r="L89" s="5" t="n">
        <v>260000</v>
      </c>
      <c r="M89" s="5" t="n">
        <v>306800</v>
      </c>
      <c r="N89" s="5">
        <f>ROUND(I89*J89*(1-K89),0)</f>
        <v/>
      </c>
    </row>
    <row r="90">
      <c r="A90" t="inlineStr">
        <is>
          <t>T05-250301-082700</t>
        </is>
      </c>
      <c r="B90" s="4" t="n">
        <v>45717</v>
      </c>
      <c r="C90" t="inlineStr">
        <is>
          <t>12:56</t>
        </is>
      </c>
      <c r="D90" t="inlineStr">
        <is>
          <t>Magasin 5 — Kaya Marché</t>
        </is>
      </c>
      <c r="E90" t="inlineStr">
        <is>
          <t>Boureima Ouédraogo</t>
        </is>
      </c>
      <c r="F90" t="n">
        <v>883</v>
      </c>
      <c r="G90" t="inlineStr">
        <is>
          <t>Carreau de pavement 40x40 — réf 2</t>
        </is>
      </c>
      <c r="H90" t="inlineStr">
        <is>
          <t>Matériaux</t>
        </is>
      </c>
      <c r="I90" t="n">
        <v>12</v>
      </c>
      <c r="J90" s="5" t="n">
        <v>1050</v>
      </c>
      <c r="K90" s="6" t="n">
        <v>0</v>
      </c>
      <c r="L90" s="5" t="n">
        <v>12600</v>
      </c>
      <c r="M90" s="5" t="n">
        <v>14868</v>
      </c>
      <c r="N90" s="5">
        <f>ROUND(I90*J90*(1-K90),0)</f>
        <v/>
      </c>
    </row>
    <row r="91">
      <c r="A91" t="inlineStr">
        <is>
          <t>T05-250301-082701</t>
        </is>
      </c>
      <c r="B91" s="4" t="n">
        <v>45717</v>
      </c>
      <c r="C91" t="inlineStr">
        <is>
          <t>15:06</t>
        </is>
      </c>
      <c r="D91" t="inlineStr">
        <is>
          <t>Magasin 5 — Kaya Marché</t>
        </is>
      </c>
      <c r="E91" t="inlineStr">
        <is>
          <t>Salamatu Sankara</t>
        </is>
      </c>
      <c r="F91" t="n">
        <v>7687</v>
      </c>
      <c r="G91" t="inlineStr">
        <is>
          <t>Disjoncteur 16 A — réf 2</t>
        </is>
      </c>
      <c r="H91" t="inlineStr">
        <is>
          <t>Electricité</t>
        </is>
      </c>
      <c r="I91" t="n">
        <v>3</v>
      </c>
      <c r="J91" s="5" t="n">
        <v>11425</v>
      </c>
      <c r="K91" s="6" t="n">
        <v>0</v>
      </c>
      <c r="L91" s="5" t="n">
        <v>34275</v>
      </c>
      <c r="M91" s="5" t="n">
        <v>40445</v>
      </c>
      <c r="N91" s="5">
        <f>ROUND(I91*J91*(1-K91),0)</f>
        <v/>
      </c>
    </row>
    <row r="92">
      <c r="A92" t="inlineStr">
        <is>
          <t>T05-250301-082702</t>
        </is>
      </c>
      <c r="B92" s="4" t="n">
        <v>45717</v>
      </c>
      <c r="C92" t="inlineStr">
        <is>
          <t>13:06</t>
        </is>
      </c>
      <c r="D92" t="inlineStr">
        <is>
          <t>Magasin 5 — Kaya Marché</t>
        </is>
      </c>
      <c r="E92" t="inlineStr">
        <is>
          <t>Salamatu Sankara</t>
        </is>
      </c>
      <c r="F92" t="n">
        <v>0</v>
      </c>
      <c r="G92" t="inlineStr">
        <is>
          <t>Pavé autobloquant — réf 2</t>
        </is>
      </c>
      <c r="H92" t="inlineStr">
        <is>
          <t>Matériaux</t>
        </is>
      </c>
      <c r="I92" t="n">
        <v>14</v>
      </c>
      <c r="J92" s="5" t="n">
        <v>700</v>
      </c>
      <c r="K92" s="6" t="n">
        <v>0</v>
      </c>
      <c r="L92" s="5" t="n">
        <v>9800</v>
      </c>
      <c r="M92" s="5" t="n">
        <v>11564</v>
      </c>
      <c r="N92" s="5">
        <f>ROUND(I92*J92*(1-K92),0)</f>
        <v/>
      </c>
    </row>
    <row r="93">
      <c r="A93" t="inlineStr">
        <is>
          <t>T05-250301-082703</t>
        </is>
      </c>
      <c r="B93" s="4" t="n">
        <v>45717</v>
      </c>
      <c r="C93" t="inlineStr">
        <is>
          <t>14:57</t>
        </is>
      </c>
      <c r="D93" t="inlineStr">
        <is>
          <t>Magasin 5 — Kaya Marché</t>
        </is>
      </c>
      <c r="E93" t="inlineStr">
        <is>
          <t>Boureima Ouédraogo</t>
        </is>
      </c>
      <c r="F93" t="n">
        <v>13808</v>
      </c>
      <c r="G93" t="inlineStr">
        <is>
          <t>Hourdis creux 12 — réf 1</t>
        </is>
      </c>
      <c r="H93" t="inlineStr">
        <is>
          <t>Matériaux</t>
        </is>
      </c>
      <c r="I93" t="n">
        <v>1</v>
      </c>
      <c r="J93" s="5" t="n">
        <v>1025</v>
      </c>
      <c r="K93" s="6" t="n">
        <v>0</v>
      </c>
      <c r="L93" s="5" t="n">
        <v>1025</v>
      </c>
      <c r="M93" s="5" t="n">
        <v>1209</v>
      </c>
      <c r="N93" s="5">
        <f>ROUND(I93*J93*(1-K93),0)</f>
        <v/>
      </c>
    </row>
    <row r="94">
      <c r="A94" t="inlineStr">
        <is>
          <t>T05-250301-082704</t>
        </is>
      </c>
      <c r="B94" s="4" t="n">
        <v>45717</v>
      </c>
      <c r="C94" t="inlineStr">
        <is>
          <t>08:11</t>
        </is>
      </c>
      <c r="D94" t="inlineStr">
        <is>
          <t>Magasin 5 — Kaya Marché</t>
        </is>
      </c>
      <c r="E94" t="inlineStr">
        <is>
          <t>Moussa Ilboudo</t>
        </is>
      </c>
      <c r="F94" t="n">
        <v>20941</v>
      </c>
      <c r="G94" t="inlineStr">
        <is>
          <t>Coude PVC 90° 100 — réf 1</t>
        </is>
      </c>
      <c r="H94" t="inlineStr">
        <is>
          <t>Plomberie</t>
        </is>
      </c>
      <c r="I94" t="n">
        <v>6</v>
      </c>
      <c r="J94" s="5" t="n">
        <v>4100</v>
      </c>
      <c r="K94" s="6" t="n">
        <v>0.08</v>
      </c>
      <c r="L94" s="5" t="n">
        <v>22632</v>
      </c>
      <c r="M94" s="5" t="n">
        <v>26706</v>
      </c>
      <c r="N94" s="5">
        <f>ROUND(I94*J94*(1-K94),0)</f>
        <v/>
      </c>
    </row>
    <row r="95">
      <c r="A95" t="inlineStr">
        <is>
          <t>T05-250301-082705</t>
        </is>
      </c>
      <c r="B95" s="4" t="n">
        <v>45717</v>
      </c>
      <c r="C95" t="inlineStr">
        <is>
          <t>18:54</t>
        </is>
      </c>
      <c r="D95" t="inlineStr">
        <is>
          <t>Magasin 5 — Kaya Marché</t>
        </is>
      </c>
      <c r="E95" t="inlineStr">
        <is>
          <t>Salamatu Sankara</t>
        </is>
      </c>
      <c r="F95" t="n">
        <v>10237</v>
      </c>
      <c r="G95" t="inlineStr">
        <is>
          <t>Chasse d'eau 6 L — réf 1</t>
        </is>
      </c>
      <c r="H95" t="inlineStr">
        <is>
          <t>Plomberie</t>
        </is>
      </c>
      <c r="I95" t="n">
        <v>3</v>
      </c>
      <c r="J95" s="5" t="n">
        <v>26425</v>
      </c>
      <c r="K95" s="6" t="n">
        <v>0.04</v>
      </c>
      <c r="L95" s="5" t="n">
        <v>76104</v>
      </c>
      <c r="M95" s="5" t="n">
        <v>89803</v>
      </c>
      <c r="N95" s="5">
        <f>ROUND(I95*J95*(1-K95),0)</f>
        <v/>
      </c>
    </row>
    <row r="96">
      <c r="A96" t="inlineStr">
        <is>
          <t>T05-250301-082706</t>
        </is>
      </c>
      <c r="B96" s="4" t="n">
        <v>45717</v>
      </c>
      <c r="C96" t="inlineStr">
        <is>
          <t>17:38</t>
        </is>
      </c>
      <c r="D96" t="inlineStr">
        <is>
          <t>Magasin 5 — Kaya Marché</t>
        </is>
      </c>
      <c r="E96" t="inlineStr">
        <is>
          <t>Adama Bationo</t>
        </is>
      </c>
      <c r="F96" t="n">
        <v>22579</v>
      </c>
      <c r="G96" t="inlineStr">
        <is>
          <t>Pointe 100 mm (kg) — réf 2</t>
        </is>
      </c>
      <c r="H96" t="inlineStr">
        <is>
          <t>Quincaillerie</t>
        </is>
      </c>
      <c r="I96" t="n">
        <v>16</v>
      </c>
      <c r="J96" s="5" t="n">
        <v>1425</v>
      </c>
      <c r="K96" s="6" t="n">
        <v>0</v>
      </c>
      <c r="L96" s="5" t="n">
        <v>22800</v>
      </c>
      <c r="M96" s="5" t="n">
        <v>26904</v>
      </c>
      <c r="N96" s="5">
        <f>ROUND(I96*J96*(1-K96),0)</f>
        <v/>
      </c>
    </row>
    <row r="97">
      <c r="A97" t="inlineStr">
        <is>
          <t>T05-250301-082707</t>
        </is>
      </c>
      <c r="B97" s="4" t="n">
        <v>45717</v>
      </c>
      <c r="C97" t="inlineStr">
        <is>
          <t>08:26</t>
        </is>
      </c>
      <c r="D97" t="inlineStr">
        <is>
          <t>Magasin 5 — Kaya Marché</t>
        </is>
      </c>
      <c r="E97" t="inlineStr">
        <is>
          <t>Adama Bationo</t>
        </is>
      </c>
      <c r="F97" t="n">
        <v>4847</v>
      </c>
      <c r="G97" t="inlineStr">
        <is>
          <t>Pince coupante 200 mm — réf 1</t>
        </is>
      </c>
      <c r="H97" t="inlineStr">
        <is>
          <t>Quincaillerie</t>
        </is>
      </c>
      <c r="I97" t="n">
        <v>6</v>
      </c>
      <c r="J97" s="5" t="n">
        <v>5400</v>
      </c>
      <c r="K97" s="6" t="n">
        <v>0</v>
      </c>
      <c r="L97" s="5" t="n">
        <v>32400</v>
      </c>
      <c r="M97" s="5" t="n">
        <v>38232</v>
      </c>
      <c r="N97" s="5">
        <f>ROUND(I97*J97*(1-K97),0)</f>
        <v/>
      </c>
    </row>
    <row r="98">
      <c r="A98" t="inlineStr">
        <is>
          <t>T05-250301-082708</t>
        </is>
      </c>
      <c r="B98" s="4" t="n">
        <v>45717</v>
      </c>
      <c r="C98" t="inlineStr">
        <is>
          <t>16:04</t>
        </is>
      </c>
      <c r="D98" t="inlineStr">
        <is>
          <t>Magasin 5 — Kaya Marché</t>
        </is>
      </c>
      <c r="E98" t="inlineStr">
        <is>
          <t>Moussa Ilboudo</t>
        </is>
      </c>
      <c r="F98" t="n">
        <v>9774</v>
      </c>
      <c r="G98" t="inlineStr">
        <is>
          <t>Casque de chantier — réf 2</t>
        </is>
      </c>
      <c r="H98" t="inlineStr">
        <is>
          <t>Consommables</t>
        </is>
      </c>
      <c r="I98" t="n">
        <v>1</v>
      </c>
      <c r="J98" s="5" t="n">
        <v>5375</v>
      </c>
      <c r="K98" s="6" t="n">
        <v>0.08</v>
      </c>
      <c r="L98" s="5" t="n">
        <v>4945</v>
      </c>
      <c r="M98" s="5" t="n">
        <v>5835</v>
      </c>
      <c r="N98" s="5">
        <f>ROUND(I98*J98*(1-K98),0)</f>
        <v/>
      </c>
    </row>
    <row r="99">
      <c r="A99" t="inlineStr">
        <is>
          <t>T05-250301-082709</t>
        </is>
      </c>
      <c r="B99" s="4" t="n">
        <v>45717</v>
      </c>
      <c r="C99" t="inlineStr">
        <is>
          <t>15:43</t>
        </is>
      </c>
      <c r="D99" t="inlineStr">
        <is>
          <t>Magasin 5 — Kaya Marché</t>
        </is>
      </c>
      <c r="E99" t="inlineStr">
        <is>
          <t>Boureima Ouédraogo</t>
        </is>
      </c>
      <c r="F99" t="n">
        <v>18220</v>
      </c>
      <c r="G99" t="inlineStr">
        <is>
          <t>Baguette de finition 2,4 m — réf 2</t>
        </is>
      </c>
      <c r="H99" t="inlineStr">
        <is>
          <t>Bois &amp; panneaux</t>
        </is>
      </c>
      <c r="I99" t="n">
        <v>46</v>
      </c>
      <c r="J99" s="5" t="n">
        <v>14425</v>
      </c>
      <c r="K99" s="6" t="n">
        <v>0</v>
      </c>
      <c r="L99" s="5" t="n">
        <v>663550</v>
      </c>
      <c r="M99" s="5" t="n">
        <v>782989</v>
      </c>
      <c r="N99" s="5">
        <f>ROUND(I99*J99*(1-K99),0)</f>
        <v/>
      </c>
    </row>
    <row r="100">
      <c r="A100" t="inlineStr">
        <is>
          <t>T05-250301-082710</t>
        </is>
      </c>
      <c r="B100" s="4" t="n">
        <v>45717</v>
      </c>
      <c r="C100" t="inlineStr">
        <is>
          <t>11:12</t>
        </is>
      </c>
      <c r="D100" t="inlineStr">
        <is>
          <t>Magasin 5 — Kaya Marché</t>
        </is>
      </c>
      <c r="E100" t="inlineStr">
        <is>
          <t>Salamatu Sankara</t>
        </is>
      </c>
      <c r="F100" t="n">
        <v>0</v>
      </c>
      <c r="G100" t="inlineStr">
        <is>
          <t>Lame de lambris 4 m — réf 2</t>
        </is>
      </c>
      <c r="H100" t="inlineStr">
        <is>
          <t>Bois &amp; panneaux</t>
        </is>
      </c>
      <c r="I100" t="n">
        <v>2</v>
      </c>
      <c r="J100" s="5" t="n">
        <v>15525</v>
      </c>
      <c r="K100" s="6" t="n">
        <v>0</v>
      </c>
      <c r="L100" s="5" t="n">
        <v>31050</v>
      </c>
      <c r="M100" s="5" t="n">
        <v>36639</v>
      </c>
      <c r="N100" s="5">
        <f>ROUND(I100*J100*(1-K100),0)</f>
        <v/>
      </c>
    </row>
    <row r="101">
      <c r="A101" t="inlineStr">
        <is>
          <t>T05-250301-082711</t>
        </is>
      </c>
      <c r="B101" s="4" t="n">
        <v>45717</v>
      </c>
      <c r="C101" t="inlineStr">
        <is>
          <t>16:03</t>
        </is>
      </c>
      <c r="D101" t="inlineStr">
        <is>
          <t>Magasin 5 — Kaya Marché</t>
        </is>
      </c>
      <c r="E101" t="inlineStr">
        <is>
          <t>Salamatu Sankara</t>
        </is>
      </c>
      <c r="F101" t="n">
        <v>11669</v>
      </c>
      <c r="G101" t="inlineStr">
        <is>
          <t>Gants anti-coupure (paire) — réf 1</t>
        </is>
      </c>
      <c r="H101" t="inlineStr">
        <is>
          <t>Consommables</t>
        </is>
      </c>
      <c r="I101" t="n">
        <v>2</v>
      </c>
      <c r="J101" s="5" t="n">
        <v>8725</v>
      </c>
      <c r="K101" s="6" t="n">
        <v>0</v>
      </c>
      <c r="L101" s="5" t="n">
        <v>17450</v>
      </c>
      <c r="M101" s="5" t="n">
        <v>20591</v>
      </c>
      <c r="N101" s="5">
        <f>ROUND(I101*J101*(1-K101),0)</f>
        <v/>
      </c>
    </row>
    <row r="102">
      <c r="A102" t="inlineStr">
        <is>
          <t>T05-250301-082712</t>
        </is>
      </c>
      <c r="B102" s="4" t="n">
        <v>45717</v>
      </c>
      <c r="C102" t="inlineStr">
        <is>
          <t>08:39</t>
        </is>
      </c>
      <c r="D102" t="inlineStr">
        <is>
          <t>Magasin 5 — Kaya Marché</t>
        </is>
      </c>
      <c r="E102" t="inlineStr">
        <is>
          <t>Moussa Ilboudo</t>
        </is>
      </c>
      <c r="F102" t="n">
        <v>9105</v>
      </c>
      <c r="G102" t="inlineStr">
        <is>
          <t>Fer à béton 8 mm (barre) — réf 2</t>
        </is>
      </c>
      <c r="H102" t="inlineStr">
        <is>
          <t>Quincaillerie</t>
        </is>
      </c>
      <c r="I102" t="n">
        <v>19</v>
      </c>
      <c r="J102" s="5" t="n">
        <v>2225</v>
      </c>
      <c r="K102" s="6" t="n">
        <v>0.04</v>
      </c>
      <c r="L102" s="5" t="n">
        <v>40584</v>
      </c>
      <c r="M102" s="5" t="n">
        <v>47889</v>
      </c>
      <c r="N102" s="5">
        <f>ROUND(I102*J102*(1-K102),0)</f>
        <v/>
      </c>
    </row>
    <row r="103">
      <c r="A103" t="inlineStr">
        <is>
          <t>T05-250301-082713</t>
        </is>
      </c>
      <c r="B103" s="4" t="n">
        <v>45717</v>
      </c>
      <c r="C103" t="inlineStr">
        <is>
          <t>18:03</t>
        </is>
      </c>
      <c r="D103" t="inlineStr">
        <is>
          <t>Magasin 5 — Kaya Marché</t>
        </is>
      </c>
      <c r="E103" t="inlineStr">
        <is>
          <t>Moussa Ilboudo</t>
        </is>
      </c>
      <c r="F103" t="n">
        <v>5096</v>
      </c>
      <c r="G103" t="inlineStr">
        <is>
          <t>Fer à béton 8 mm (barre) — réf 2</t>
        </is>
      </c>
      <c r="H103" t="inlineStr">
        <is>
          <t>Quincaillerie</t>
        </is>
      </c>
      <c r="I103" t="n">
        <v>10</v>
      </c>
      <c r="J103" s="5" t="n">
        <v>2300</v>
      </c>
      <c r="K103" s="6" t="n">
        <v>0</v>
      </c>
      <c r="L103" s="5" t="n">
        <v>23000</v>
      </c>
      <c r="M103" s="5" t="n">
        <v>27140</v>
      </c>
      <c r="N103" s="5">
        <f>ROUND(I103*J103*(1-K103),0)</f>
        <v/>
      </c>
    </row>
    <row r="104">
      <c r="A104" t="inlineStr">
        <is>
          <t>T05-250301-082714</t>
        </is>
      </c>
      <c r="B104" s="4" t="n">
        <v>45717</v>
      </c>
      <c r="C104" t="inlineStr">
        <is>
          <t>15:15</t>
        </is>
      </c>
      <c r="D104" t="inlineStr">
        <is>
          <t>Magasin 5 — Kaya Marché</t>
        </is>
      </c>
      <c r="E104" t="inlineStr">
        <is>
          <t>Boureima Ouédraogo</t>
        </is>
      </c>
      <c r="F104" t="n">
        <v>20513</v>
      </c>
      <c r="G104" t="inlineStr">
        <is>
          <t>Enduit de lissage 20 kg — réf 1</t>
        </is>
      </c>
      <c r="H104" t="inlineStr">
        <is>
          <t>Matériaux</t>
        </is>
      </c>
      <c r="I104" t="n">
        <v>5</v>
      </c>
      <c r="J104" s="5" t="n">
        <v>7500</v>
      </c>
      <c r="K104" s="6" t="n">
        <v>0</v>
      </c>
      <c r="L104" s="5" t="n">
        <v>37500</v>
      </c>
      <c r="M104" s="5" t="n">
        <v>44250</v>
      </c>
      <c r="N104" s="5">
        <f>ROUND(I104*J104*(1-K104),0)</f>
        <v/>
      </c>
    </row>
    <row r="105">
      <c r="A105" t="inlineStr">
        <is>
          <t>T05-250301-082715</t>
        </is>
      </c>
      <c r="B105" s="4" t="n">
        <v>45717</v>
      </c>
      <c r="C105" t="inlineStr">
        <is>
          <t>13:49</t>
        </is>
      </c>
      <c r="D105" t="inlineStr">
        <is>
          <t>Magasin 5 — Kaya Marché</t>
        </is>
      </c>
      <c r="E105" t="inlineStr">
        <is>
          <t>Boureima Ouédraogo</t>
        </is>
      </c>
      <c r="F105" t="n">
        <v>3696</v>
      </c>
      <c r="G105" t="inlineStr">
        <is>
          <t>Perforateur 800 W — réf 2</t>
        </is>
      </c>
      <c r="H105" t="inlineStr">
        <is>
          <t>Quincaillerie</t>
        </is>
      </c>
      <c r="I105" t="n">
        <v>6</v>
      </c>
      <c r="J105" s="5" t="n">
        <v>5650</v>
      </c>
      <c r="K105" s="6" t="n">
        <v>0</v>
      </c>
      <c r="L105" s="5" t="n">
        <v>33900</v>
      </c>
      <c r="M105" s="5" t="n">
        <v>40002</v>
      </c>
      <c r="N105" s="5">
        <f>ROUND(I105*J105*(1-K105),0)</f>
        <v/>
      </c>
    </row>
    <row r="106">
      <c r="A106" t="inlineStr">
        <is>
          <t>T05-250302-082743</t>
        </is>
      </c>
      <c r="B106" s="4" t="n">
        <v>45718</v>
      </c>
      <c r="C106" t="inlineStr">
        <is>
          <t>13:34</t>
        </is>
      </c>
      <c r="D106" t="inlineStr">
        <is>
          <t>Magasin 5 — Kaya Marché</t>
        </is>
      </c>
      <c r="E106" t="inlineStr">
        <is>
          <t>Boureima Ouédraogo</t>
        </is>
      </c>
      <c r="F106" t="n">
        <v>18255</v>
      </c>
      <c r="G106" t="inlineStr">
        <is>
          <t>WC complet avec abattant — réf 1</t>
        </is>
      </c>
      <c r="H106" t="inlineStr">
        <is>
          <t>Plomberie</t>
        </is>
      </c>
      <c r="I106" t="n">
        <v>6</v>
      </c>
      <c r="J106" s="5" t="n">
        <v>27000</v>
      </c>
      <c r="K106" s="6" t="n">
        <v>0</v>
      </c>
      <c r="L106" s="5" t="n">
        <v>162000</v>
      </c>
      <c r="M106" s="5" t="n">
        <v>191160</v>
      </c>
      <c r="N106" s="5">
        <f>ROUND(I106*J106*(1-K106),0)</f>
        <v/>
      </c>
    </row>
    <row r="107">
      <c r="A107" t="inlineStr">
        <is>
          <t>T05-250302-082743</t>
        </is>
      </c>
      <c r="B107" s="4" t="n">
        <v>45718</v>
      </c>
      <c r="C107" t="inlineStr">
        <is>
          <t>10:09</t>
        </is>
      </c>
      <c r="D107" t="inlineStr">
        <is>
          <t>Magasin 5 — Kaya Marché</t>
        </is>
      </c>
      <c r="E107" t="inlineStr">
        <is>
          <t>Boureima Ouédraogo</t>
        </is>
      </c>
      <c r="F107" t="n">
        <v>14924</v>
      </c>
      <c r="G107" t="inlineStr">
        <is>
          <t>Sac de transport 100 kg — réf 1</t>
        </is>
      </c>
      <c r="H107" t="inlineStr">
        <is>
          <t>Consommables</t>
        </is>
      </c>
      <c r="I107" t="n">
        <v>6</v>
      </c>
      <c r="J107" s="5" t="n">
        <v>8575</v>
      </c>
      <c r="K107" s="6" t="n">
        <v>0</v>
      </c>
      <c r="L107" s="5" t="n">
        <v>51450</v>
      </c>
      <c r="M107" s="5" t="n">
        <v>60711</v>
      </c>
      <c r="N107" s="5">
        <f>ROUND(I107*J107*(1-K107),0)</f>
        <v/>
      </c>
    </row>
    <row r="108">
      <c r="A108" t="inlineStr">
        <is>
          <t>T05-250302-082743</t>
        </is>
      </c>
      <c r="B108" s="4" t="n">
        <v>45718</v>
      </c>
      <c r="C108" t="inlineStr">
        <is>
          <t>13:32</t>
        </is>
      </c>
      <c r="D108" t="inlineStr">
        <is>
          <t>Magasin 5 — Kaya Marché</t>
        </is>
      </c>
      <c r="E108" t="inlineStr">
        <is>
          <t>Boureima Ouédraogo</t>
        </is>
      </c>
      <c r="F108" t="n">
        <v>0</v>
      </c>
      <c r="G108" t="inlineStr">
        <is>
          <t>Peinture acrylique blanc 10 L — réf 1</t>
        </is>
      </c>
      <c r="H108" t="inlineStr">
        <is>
          <t>Peinture</t>
        </is>
      </c>
      <c r="I108" t="n">
        <v>6</v>
      </c>
      <c r="J108" s="5" t="n">
        <v>4225</v>
      </c>
      <c r="K108" s="6" t="n">
        <v>0</v>
      </c>
      <c r="L108" s="5" t="n">
        <v>25350</v>
      </c>
      <c r="M108" s="5" t="n">
        <v>29913</v>
      </c>
      <c r="N108" s="5">
        <f>ROUND(I108*J108*(1-K108),0)</f>
        <v/>
      </c>
    </row>
    <row r="109">
      <c r="A109" t="inlineStr">
        <is>
          <t>T05-250302-082744</t>
        </is>
      </c>
      <c r="B109" s="4" t="n">
        <v>45718</v>
      </c>
      <c r="C109" t="inlineStr">
        <is>
          <t>10:07</t>
        </is>
      </c>
      <c r="D109" t="inlineStr">
        <is>
          <t>Magasin 5 — Kaya Marché</t>
        </is>
      </c>
      <c r="E109" t="inlineStr">
        <is>
          <t>Moussa Ilboudo</t>
        </is>
      </c>
      <c r="F109" t="n">
        <v>8700</v>
      </c>
      <c r="G109" t="inlineStr">
        <is>
          <t>Plâtre de construction 25 kg — réf 2</t>
        </is>
      </c>
      <c r="H109" t="inlineStr">
        <is>
          <t>Matériaux</t>
        </is>
      </c>
      <c r="I109" t="n">
        <v>5</v>
      </c>
      <c r="J109" s="5" t="n">
        <v>5875</v>
      </c>
      <c r="K109" s="6" t="n">
        <v>0</v>
      </c>
      <c r="L109" s="5" t="n">
        <v>29375</v>
      </c>
      <c r="M109" s="5" t="n">
        <v>34663</v>
      </c>
      <c r="N109" s="5">
        <f>ROUND(I109*J109*(1-K109),0)</f>
        <v/>
      </c>
    </row>
    <row r="110">
      <c r="A110" t="inlineStr">
        <is>
          <t>T05-250302-082744</t>
        </is>
      </c>
      <c r="B110" s="4" t="n">
        <v>45718</v>
      </c>
      <c r="C110" t="inlineStr">
        <is>
          <t>18:31</t>
        </is>
      </c>
      <c r="D110" t="inlineStr">
        <is>
          <t>Magasin 5 — Kaya Marché</t>
        </is>
      </c>
      <c r="E110" t="inlineStr">
        <is>
          <t>Adama Bationo</t>
        </is>
      </c>
      <c r="F110" t="n">
        <v>2149</v>
      </c>
      <c r="G110" t="inlineStr">
        <is>
          <t>Parpaing 15 aggloméré — réf 1</t>
        </is>
      </c>
      <c r="H110" t="inlineStr">
        <is>
          <t>Matériaux</t>
        </is>
      </c>
      <c r="I110" t="n">
        <v>11</v>
      </c>
      <c r="J110" s="5" t="n">
        <v>1425</v>
      </c>
      <c r="K110" s="6" t="n">
        <v>0</v>
      </c>
      <c r="L110" s="5" t="n">
        <v>15675</v>
      </c>
      <c r="M110" s="5" t="n">
        <v>18497</v>
      </c>
      <c r="N110" s="5">
        <f>ROUND(I110*J110*(1-K110),0)</f>
        <v/>
      </c>
    </row>
    <row r="111">
      <c r="A111" t="inlineStr">
        <is>
          <t>T05-250302-082744</t>
        </is>
      </c>
      <c r="B111" s="4" t="n">
        <v>45718</v>
      </c>
      <c r="C111" t="inlineStr">
        <is>
          <t>08:47</t>
        </is>
      </c>
      <c r="D111" t="inlineStr">
        <is>
          <t>Magasin 5 — Kaya Marché</t>
        </is>
      </c>
      <c r="E111" t="inlineStr">
        <is>
          <t>Boureima Ouédraogo</t>
        </is>
      </c>
      <c r="F111" t="n">
        <v>3668</v>
      </c>
      <c r="G111" t="inlineStr">
        <is>
          <t>Marteau de menuisier — réf 2</t>
        </is>
      </c>
      <c r="H111" t="inlineStr">
        <is>
          <t>Quincaillerie</t>
        </is>
      </c>
      <c r="I111" t="n">
        <v>4</v>
      </c>
      <c r="J111" s="5" t="n">
        <v>8725</v>
      </c>
      <c r="K111" s="6" t="n">
        <v>0</v>
      </c>
      <c r="L111" s="5" t="n">
        <v>34900</v>
      </c>
      <c r="M111" s="5" t="n">
        <v>41182</v>
      </c>
      <c r="N111" s="5">
        <f>ROUND(I111*J111*(1-K111),0)</f>
        <v/>
      </c>
    </row>
    <row r="112">
      <c r="A112" t="inlineStr">
        <is>
          <t>T05-250302-082745</t>
        </is>
      </c>
      <c r="B112" s="4" t="n">
        <v>45718</v>
      </c>
      <c r="C112" t="inlineStr">
        <is>
          <t>11:13</t>
        </is>
      </c>
      <c r="D112" t="inlineStr">
        <is>
          <t>Magasin 5 — Kaya Marché</t>
        </is>
      </c>
      <c r="E112" t="inlineStr">
        <is>
          <t>Adama Bationo</t>
        </is>
      </c>
      <c r="F112" t="inlineStr"/>
      <c r="G112" t="inlineStr">
        <is>
          <t>Tout-venant (m3) — réf 1</t>
        </is>
      </c>
      <c r="H112" t="inlineStr">
        <is>
          <t>Matériaux</t>
        </is>
      </c>
      <c r="I112" t="n">
        <v>9</v>
      </c>
      <c r="J112" s="5" t="n">
        <v>16475</v>
      </c>
      <c r="K112" s="6" t="n">
        <v>0</v>
      </c>
      <c r="L112" s="5" t="n">
        <v>148275</v>
      </c>
      <c r="M112" s="5" t="n">
        <v>174965</v>
      </c>
      <c r="N112" s="5">
        <f>ROUND(I112*J112*(1-K112),0)</f>
        <v/>
      </c>
    </row>
    <row r="113">
      <c r="A113" t="inlineStr">
        <is>
          <t>T05-250302-082745</t>
        </is>
      </c>
      <c r="B113" s="4" t="n">
        <v>45718</v>
      </c>
      <c r="C113" t="inlineStr">
        <is>
          <t>11:52</t>
        </is>
      </c>
      <c r="D113" t="inlineStr">
        <is>
          <t>Magasin 5 — Kaya Marché</t>
        </is>
      </c>
      <c r="E113" t="inlineStr">
        <is>
          <t>Adama Bationo</t>
        </is>
      </c>
      <c r="F113" t="n">
        <v>19185</v>
      </c>
      <c r="G113" t="inlineStr">
        <is>
          <t>Lampe solaire murale — réf 1</t>
        </is>
      </c>
      <c r="H113" t="inlineStr">
        <is>
          <t>Electricité</t>
        </is>
      </c>
      <c r="I113" t="n">
        <v>3</v>
      </c>
      <c r="J113" s="5" t="n">
        <v>10175</v>
      </c>
      <c r="K113" s="6" t="n">
        <v>0</v>
      </c>
      <c r="L113" s="5" t="n">
        <v>30525</v>
      </c>
      <c r="M113" s="5" t="n">
        <v>36019</v>
      </c>
      <c r="N113" s="5">
        <f>ROUND(I113*J113*(1-K113),0)</f>
        <v/>
      </c>
    </row>
    <row r="114">
      <c r="A114" t="inlineStr">
        <is>
          <t>T05-250303-082910</t>
        </is>
      </c>
      <c r="B114" s="4" t="n">
        <v>45719</v>
      </c>
      <c r="C114" t="inlineStr">
        <is>
          <t>08:03</t>
        </is>
      </c>
      <c r="D114" t="inlineStr">
        <is>
          <t>Magasin 5 — Kaya Marché</t>
        </is>
      </c>
      <c r="E114" t="inlineStr">
        <is>
          <t>Moussa Ilboudo</t>
        </is>
      </c>
      <c r="F114" t="n">
        <v>0</v>
      </c>
      <c r="G114" t="inlineStr">
        <is>
          <t>Marteau de menuisier — réf 2</t>
        </is>
      </c>
      <c r="H114" t="inlineStr">
        <is>
          <t>Quincaillerie</t>
        </is>
      </c>
      <c r="I114" t="n">
        <v>1</v>
      </c>
      <c r="J114" s="5" t="n">
        <v>8775</v>
      </c>
      <c r="K114" s="6" t="n">
        <v>0</v>
      </c>
      <c r="L114" s="5" t="n">
        <v>8775</v>
      </c>
      <c r="M114" s="5" t="n">
        <v>10355</v>
      </c>
      <c r="N114" s="5">
        <f>ROUND(I114*J114*(1-K114),0)</f>
        <v/>
      </c>
    </row>
    <row r="115">
      <c r="A115" t="inlineStr">
        <is>
          <t>T05-250303-082910</t>
        </is>
      </c>
      <c r="B115" s="4" t="n">
        <v>45719</v>
      </c>
      <c r="C115" t="inlineStr">
        <is>
          <t>16:39</t>
        </is>
      </c>
      <c r="D115" t="inlineStr">
        <is>
          <t>Magasin 5 — Kaya Marché</t>
        </is>
      </c>
      <c r="E115" t="inlineStr">
        <is>
          <t>Salamatu Sankara</t>
        </is>
      </c>
      <c r="F115" t="n">
        <v>4415</v>
      </c>
      <c r="G115" t="inlineStr">
        <is>
          <t>Tableau 18 modules — réf 2</t>
        </is>
      </c>
      <c r="H115" t="inlineStr">
        <is>
          <t>Electricité</t>
        </is>
      </c>
      <c r="I115" t="n">
        <v>1</v>
      </c>
      <c r="J115" s="5" t="n">
        <v>9075</v>
      </c>
      <c r="K115" s="6" t="n">
        <v>0</v>
      </c>
      <c r="L115" s="5" t="n">
        <v>9075</v>
      </c>
      <c r="M115" s="5" t="n">
        <v>10709</v>
      </c>
      <c r="N115" s="5">
        <f>ROUND(I115*J115*(1-K115),0)</f>
        <v/>
      </c>
    </row>
    <row r="116">
      <c r="A116" t="inlineStr">
        <is>
          <t>T05-250303-082911</t>
        </is>
      </c>
      <c r="B116" s="4" t="n">
        <v>45719</v>
      </c>
      <c r="C116" t="inlineStr">
        <is>
          <t>07:06</t>
        </is>
      </c>
      <c r="D116" t="inlineStr">
        <is>
          <t>Magasin 5 — Kaya Marché</t>
        </is>
      </c>
      <c r="E116" t="inlineStr">
        <is>
          <t>Salamatu Sankara</t>
        </is>
      </c>
      <c r="F116" t="n">
        <v>13669</v>
      </c>
      <c r="G116" t="inlineStr">
        <is>
          <t>Brouette 90 L — réf 2</t>
        </is>
      </c>
      <c r="H116" t="inlineStr">
        <is>
          <t>Consommables</t>
        </is>
      </c>
      <c r="I116" t="n">
        <v>1</v>
      </c>
      <c r="J116" s="5" t="n">
        <v>9875</v>
      </c>
      <c r="K116" s="6" t="n">
        <v>0</v>
      </c>
      <c r="L116" s="5" t="n">
        <v>9875</v>
      </c>
      <c r="M116" s="5" t="n">
        <v>11653</v>
      </c>
      <c r="N116" s="5">
        <f>ROUND(I116*J116*(1-K116),0)</f>
        <v/>
      </c>
    </row>
    <row r="117">
      <c r="A117" t="inlineStr">
        <is>
          <t>T05-250303-082911</t>
        </is>
      </c>
      <c r="B117" s="4" t="n">
        <v>45719</v>
      </c>
      <c r="C117" t="inlineStr">
        <is>
          <t>09:44</t>
        </is>
      </c>
      <c r="D117" t="inlineStr">
        <is>
          <t>Magasin 5 — Kaya Marché</t>
        </is>
      </c>
      <c r="E117" t="inlineStr">
        <is>
          <t>Salamatu Sankara</t>
        </is>
      </c>
      <c r="F117" t="n">
        <v>5228</v>
      </c>
      <c r="G117" t="inlineStr">
        <is>
          <t>Marteau de menuisier — réf 1</t>
        </is>
      </c>
      <c r="H117" t="inlineStr">
        <is>
          <t>Quincaillerie</t>
        </is>
      </c>
      <c r="I117" t="n">
        <v>8</v>
      </c>
      <c r="J117" s="5" t="n">
        <v>9400</v>
      </c>
      <c r="K117" s="6" t="n">
        <v>0.08</v>
      </c>
      <c r="L117" s="5" t="n">
        <v>69184</v>
      </c>
      <c r="M117" s="5" t="n">
        <v>81637</v>
      </c>
      <c r="N117" s="5">
        <f>ROUND(I117*J117*(1-K117),0)</f>
        <v/>
      </c>
    </row>
    <row r="118">
      <c r="A118" t="inlineStr">
        <is>
          <t>T05-250303-082912</t>
        </is>
      </c>
      <c r="B118" s="4" t="n">
        <v>45719</v>
      </c>
      <c r="C118" t="inlineStr">
        <is>
          <t>08:38</t>
        </is>
      </c>
      <c r="D118" t="inlineStr">
        <is>
          <t>Magasin 5 — Kaya Marché</t>
        </is>
      </c>
      <c r="E118" t="inlineStr">
        <is>
          <t>Salamatu Sankara</t>
        </is>
      </c>
      <c r="F118" t="n">
        <v>16351</v>
      </c>
      <c r="G118" t="inlineStr">
        <is>
          <t>Panneau solaire 100 W — réf 2</t>
        </is>
      </c>
      <c r="H118" t="inlineStr">
        <is>
          <t>Electricité</t>
        </is>
      </c>
      <c r="I118" t="n">
        <v>1</v>
      </c>
      <c r="J118" s="5" t="n">
        <v>15575</v>
      </c>
      <c r="K118" s="6" t="n">
        <v>0.03</v>
      </c>
      <c r="L118" s="5" t="n">
        <v>15108</v>
      </c>
      <c r="M118" s="5" t="n">
        <v>17827</v>
      </c>
      <c r="N118" s="5">
        <f>ROUND(I118*J118*(1-K118),0)</f>
        <v/>
      </c>
    </row>
    <row r="119">
      <c r="A119" t="inlineStr">
        <is>
          <t>T05-250303-082912</t>
        </is>
      </c>
      <c r="B119" s="4" t="n">
        <v>45719</v>
      </c>
      <c r="C119" t="inlineStr">
        <is>
          <t>08:47</t>
        </is>
      </c>
      <c r="D119" t="inlineStr">
        <is>
          <t>Magasin 5 — Kaya Marché</t>
        </is>
      </c>
      <c r="E119" t="inlineStr">
        <is>
          <t>Salamatu Sankara</t>
        </is>
      </c>
      <c r="F119" t="n">
        <v>9672</v>
      </c>
      <c r="G119" t="inlineStr">
        <is>
          <t>Tournevis cruciforme PH2 — réf 1</t>
        </is>
      </c>
      <c r="H119" t="inlineStr">
        <is>
          <t>Quincaillerie</t>
        </is>
      </c>
      <c r="I119" t="n">
        <v>13</v>
      </c>
      <c r="J119" s="5" t="n">
        <v>7900</v>
      </c>
      <c r="K119" s="6" t="n">
        <v>0.04</v>
      </c>
      <c r="L119" s="5" t="n">
        <v>98592</v>
      </c>
      <c r="M119" s="5" t="n">
        <v>116339</v>
      </c>
      <c r="N119" s="5">
        <f>ROUND(I119*J119*(1-K119),0)</f>
        <v/>
      </c>
    </row>
    <row r="120">
      <c r="A120" t="inlineStr">
        <is>
          <t>T05-250303-082913</t>
        </is>
      </c>
      <c r="B120" s="4" t="n">
        <v>45719</v>
      </c>
      <c r="C120" t="inlineStr">
        <is>
          <t>16:01</t>
        </is>
      </c>
      <c r="D120" t="inlineStr">
        <is>
          <t>Magasin 5 — Kaya Marché</t>
        </is>
      </c>
      <c r="E120" t="inlineStr">
        <is>
          <t>Adama Bationo</t>
        </is>
      </c>
      <c r="F120" t="n">
        <v>22643</v>
      </c>
      <c r="G120" t="inlineStr">
        <is>
          <t>Robinet mitigeur évier — réf 1</t>
        </is>
      </c>
      <c r="H120" t="inlineStr">
        <is>
          <t>Plomberie</t>
        </is>
      </c>
      <c r="I120" t="n">
        <v>26</v>
      </c>
      <c r="J120" s="5" t="n">
        <v>33375</v>
      </c>
      <c r="K120" s="6" t="n">
        <v>0.04</v>
      </c>
      <c r="L120" s="5" t="n">
        <v>833040</v>
      </c>
      <c r="M120" s="5" t="n">
        <v>982987</v>
      </c>
      <c r="N120" s="5">
        <f>ROUND(I120*J120*(1-K120),0)</f>
        <v/>
      </c>
    </row>
    <row r="121">
      <c r="A121" t="inlineStr">
        <is>
          <t>T05-250303-082913</t>
        </is>
      </c>
      <c r="B121" s="4" t="n">
        <v>45719</v>
      </c>
      <c r="C121" t="inlineStr">
        <is>
          <t>16:03</t>
        </is>
      </c>
      <c r="D121" t="inlineStr">
        <is>
          <t>Magasin 5 — Kaya Marché</t>
        </is>
      </c>
      <c r="E121" t="inlineStr">
        <is>
          <t>Salamatu Sankara</t>
        </is>
      </c>
      <c r="F121" t="n">
        <v>640</v>
      </c>
      <c r="G121" t="inlineStr">
        <is>
          <t>Pavé autobloquant — réf 2</t>
        </is>
      </c>
      <c r="H121" t="inlineStr">
        <is>
          <t>Matériaux</t>
        </is>
      </c>
      <c r="I121" t="n">
        <v>2</v>
      </c>
      <c r="J121" s="5" t="n">
        <v>700</v>
      </c>
      <c r="K121" s="6" t="n">
        <v>0</v>
      </c>
      <c r="L121" s="5" t="n">
        <v>1400</v>
      </c>
      <c r="M121" s="5" t="n">
        <v>1652</v>
      </c>
      <c r="N121" s="5">
        <f>ROUND(I121*J121*(1-K121),0)</f>
        <v/>
      </c>
    </row>
    <row r="122">
      <c r="A122" t="inlineStr">
        <is>
          <t>T05-250401-086352</t>
        </is>
      </c>
      <c r="B122" s="4" t="n">
        <v>45748</v>
      </c>
      <c r="C122" t="inlineStr">
        <is>
          <t>11:01</t>
        </is>
      </c>
      <c r="D122" t="inlineStr">
        <is>
          <t>Magasin 5 — Kaya Marché</t>
        </is>
      </c>
      <c r="E122" t="inlineStr">
        <is>
          <t>Boureima Ouédraogo</t>
        </is>
      </c>
      <c r="F122" t="n">
        <v>0</v>
      </c>
      <c r="G122" t="inlineStr">
        <is>
          <t>Échelle aluminium 4 marches — réf 1</t>
        </is>
      </c>
      <c r="H122" t="inlineStr">
        <is>
          <t>Consommables</t>
        </is>
      </c>
      <c r="I122" t="n">
        <v>3</v>
      </c>
      <c r="J122" s="5" t="n">
        <v>8650</v>
      </c>
      <c r="K122" s="6" t="n">
        <v>0</v>
      </c>
      <c r="L122" s="5" t="n">
        <v>25950</v>
      </c>
      <c r="M122" s="5" t="n">
        <v>30621</v>
      </c>
      <c r="N122" s="5">
        <f>ROUND(I122*J122*(1-K122),0)</f>
        <v/>
      </c>
    </row>
    <row r="123">
      <c r="A123" t="inlineStr">
        <is>
          <t>T05-250401-086353</t>
        </is>
      </c>
      <c r="B123" s="4" t="n">
        <v>45748</v>
      </c>
      <c r="C123" t="inlineStr">
        <is>
          <t>12:45</t>
        </is>
      </c>
      <c r="D123" t="inlineStr">
        <is>
          <t>Magasin 5 — Kaya Marché</t>
        </is>
      </c>
      <c r="E123" t="inlineStr">
        <is>
          <t>Moussa Ilboudo</t>
        </is>
      </c>
      <c r="F123" t="n">
        <v>13771</v>
      </c>
      <c r="G123" t="inlineStr">
        <is>
          <t>Plaque de plâtre 13 mm — réf 2</t>
        </is>
      </c>
      <c r="H123" t="inlineStr">
        <is>
          <t>Bois &amp; panneaux</t>
        </is>
      </c>
      <c r="I123" t="n">
        <v>4</v>
      </c>
      <c r="J123" s="5" t="n">
        <v>13900</v>
      </c>
      <c r="K123" s="6" t="n">
        <v>0.04</v>
      </c>
      <c r="L123" s="5" t="n">
        <v>53376</v>
      </c>
      <c r="M123" s="5" t="n">
        <v>62984</v>
      </c>
      <c r="N123" s="5">
        <f>ROUND(I123*J123*(1-K123),0)</f>
        <v/>
      </c>
    </row>
    <row r="124">
      <c r="A124" t="inlineStr">
        <is>
          <t>T05-250401-086354</t>
        </is>
      </c>
      <c r="B124" s="4" t="n">
        <v>45748</v>
      </c>
      <c r="C124" t="inlineStr">
        <is>
          <t>12:37</t>
        </is>
      </c>
      <c r="D124" t="inlineStr">
        <is>
          <t>Magasin 5 — Kaya Marché</t>
        </is>
      </c>
      <c r="E124" t="inlineStr">
        <is>
          <t>Moussa Ilboudo</t>
        </is>
      </c>
      <c r="F124" t="n">
        <v>19670</v>
      </c>
      <c r="G124" t="inlineStr">
        <is>
          <t>Écrou hexagonal 10 (sachet) — réf 2</t>
        </is>
      </c>
      <c r="H124" t="inlineStr">
        <is>
          <t>Quincaillerie</t>
        </is>
      </c>
      <c r="I124" t="n">
        <v>3</v>
      </c>
      <c r="J124" s="5" t="n">
        <v>2200</v>
      </c>
      <c r="K124" s="6" t="n">
        <v>0.04</v>
      </c>
      <c r="L124" s="5" t="n">
        <v>6336</v>
      </c>
      <c r="M124" s="5" t="n">
        <v>7476</v>
      </c>
      <c r="N124" s="5">
        <f>ROUND(I124*J124*(1-K124),0)</f>
        <v/>
      </c>
    </row>
    <row r="125">
      <c r="A125" t="inlineStr">
        <is>
          <t>T05-250401-086355</t>
        </is>
      </c>
      <c r="B125" s="4" t="n">
        <v>45748</v>
      </c>
      <c r="C125" t="inlineStr">
        <is>
          <t>08:45</t>
        </is>
      </c>
      <c r="D125" t="inlineStr">
        <is>
          <t>Magasin 5 — Kaya Marché</t>
        </is>
      </c>
      <c r="E125" t="inlineStr">
        <is>
          <t>Boureima Ouédraogo</t>
        </is>
      </c>
      <c r="F125" t="n">
        <v>12205</v>
      </c>
      <c r="G125" t="inlineStr">
        <is>
          <t>WC complet avec abattant — réf 2</t>
        </is>
      </c>
      <c r="H125" t="inlineStr">
        <is>
          <t>Plomberie</t>
        </is>
      </c>
      <c r="I125" t="n">
        <v>4</v>
      </c>
      <c r="J125" s="5" t="n">
        <v>31850</v>
      </c>
      <c r="K125" s="6" t="n">
        <v>0</v>
      </c>
      <c r="L125" s="5" t="n">
        <v>127400</v>
      </c>
      <c r="M125" s="5" t="n">
        <v>150332</v>
      </c>
      <c r="N125" s="5">
        <f>ROUND(I125*J125*(1-K125),0)</f>
        <v/>
      </c>
    </row>
    <row r="126">
      <c r="A126" t="inlineStr">
        <is>
          <t>T05-250401-086356</t>
        </is>
      </c>
      <c r="B126" s="4" t="n">
        <v>45748</v>
      </c>
      <c r="C126" t="inlineStr">
        <is>
          <t>17:02</t>
        </is>
      </c>
      <c r="D126" t="inlineStr">
        <is>
          <t>Magasin 5 — Kaya Marché</t>
        </is>
      </c>
      <c r="E126" t="inlineStr">
        <is>
          <t>Moussa Ilboudo</t>
        </is>
      </c>
      <c r="F126" t="n">
        <v>6969</v>
      </c>
      <c r="G126" t="inlineStr">
        <is>
          <t>Ciment CPJ35 50 kg — réf 2</t>
        </is>
      </c>
      <c r="H126" t="inlineStr">
        <is>
          <t>Matériaux</t>
        </is>
      </c>
      <c r="I126" t="n">
        <v>39</v>
      </c>
      <c r="J126" s="5" t="n">
        <v>4100</v>
      </c>
      <c r="K126" s="6" t="n">
        <v>0</v>
      </c>
      <c r="L126" s="5" t="n">
        <v>159900</v>
      </c>
      <c r="M126" s="5" t="n">
        <v>188682</v>
      </c>
      <c r="N126" s="5">
        <f>ROUND(I126*J126*(1-K126),0)</f>
        <v/>
      </c>
    </row>
    <row r="127">
      <c r="A127" t="inlineStr">
        <is>
          <t>T05-250401-086357</t>
        </is>
      </c>
      <c r="B127" s="4" t="n">
        <v>45748</v>
      </c>
      <c r="C127" t="inlineStr">
        <is>
          <t>13:18</t>
        </is>
      </c>
      <c r="D127" t="inlineStr">
        <is>
          <t>Magasin 5 — Kaya Marché</t>
        </is>
      </c>
      <c r="E127" t="inlineStr">
        <is>
          <t>Adama Bationo</t>
        </is>
      </c>
      <c r="F127" t="n">
        <v>22824</v>
      </c>
      <c r="G127" t="inlineStr">
        <is>
          <t>Chasse d'eau 6 L — réf 1</t>
        </is>
      </c>
      <c r="H127" t="inlineStr">
        <is>
          <t>Plomberie</t>
        </is>
      </c>
      <c r="I127" t="n">
        <v>-5</v>
      </c>
      <c r="J127" s="5" t="n">
        <v>26625</v>
      </c>
      <c r="K127" s="6" t="n">
        <v>0.04</v>
      </c>
      <c r="L127" s="5" t="n">
        <v>-127800</v>
      </c>
      <c r="M127" s="5" t="n">
        <v>-150804</v>
      </c>
      <c r="N127" s="5">
        <f>ROUND(I127*J127*(1-K127),0)</f>
        <v/>
      </c>
    </row>
    <row r="128">
      <c r="A128" t="inlineStr">
        <is>
          <t>T05-250401-086358</t>
        </is>
      </c>
      <c r="B128" s="4" t="n">
        <v>45748</v>
      </c>
      <c r="C128" t="inlineStr">
        <is>
          <t>17:48</t>
        </is>
      </c>
      <c r="D128" t="inlineStr">
        <is>
          <t>Magasin 5 — Kaya Marché</t>
        </is>
      </c>
      <c r="E128" t="inlineStr">
        <is>
          <t>Boureima Ouédraogo</t>
        </is>
      </c>
      <c r="F128" t="inlineStr"/>
      <c r="G128" t="inlineStr">
        <is>
          <t>Tube PER 16x2 (rouleau) — réf 2</t>
        </is>
      </c>
      <c r="H128" t="inlineStr">
        <is>
          <t>Plomberie</t>
        </is>
      </c>
      <c r="I128" t="n">
        <v>3</v>
      </c>
      <c r="J128" s="5" t="n">
        <v>3300</v>
      </c>
      <c r="K128" s="6" t="n">
        <v>0</v>
      </c>
      <c r="L128" s="5" t="n">
        <v>9900</v>
      </c>
      <c r="M128" s="5" t="n">
        <v>11682</v>
      </c>
      <c r="N128" s="5">
        <f>ROUND(I128*J128*(1-K128),0)</f>
        <v/>
      </c>
    </row>
    <row r="129">
      <c r="A129" t="inlineStr">
        <is>
          <t>T05-250401-086359</t>
        </is>
      </c>
      <c r="B129" s="4" t="n">
        <v>45748</v>
      </c>
      <c r="C129" t="inlineStr">
        <is>
          <t>18:04</t>
        </is>
      </c>
      <c r="D129" t="inlineStr">
        <is>
          <t>Magasin 5 — Kaya Marché</t>
        </is>
      </c>
      <c r="E129" t="inlineStr">
        <is>
          <t>Adama Bationo</t>
        </is>
      </c>
      <c r="F129" t="n">
        <v>0</v>
      </c>
      <c r="G129" t="inlineStr">
        <is>
          <t>Tube PVC évacuation 100 mm (ml) — réf 1</t>
        </is>
      </c>
      <c r="H129" t="inlineStr">
        <is>
          <t>Plomberie</t>
        </is>
      </c>
      <c r="I129" t="n">
        <v>2</v>
      </c>
      <c r="J129" s="5" t="n">
        <v>3475</v>
      </c>
      <c r="K129" s="6" t="n">
        <v>0</v>
      </c>
      <c r="L129" s="5" t="n">
        <v>6950</v>
      </c>
      <c r="M129" s="5" t="n">
        <v>8201</v>
      </c>
      <c r="N129" s="5">
        <f>ROUND(I129*J129*(1-K129),0)</f>
        <v/>
      </c>
    </row>
    <row r="130">
      <c r="A130" t="inlineStr">
        <is>
          <t>T05-250401-086360</t>
        </is>
      </c>
      <c r="B130" s="4" t="n">
        <v>45748</v>
      </c>
      <c r="C130" t="inlineStr">
        <is>
          <t>08:47</t>
        </is>
      </c>
      <c r="D130" t="inlineStr">
        <is>
          <t>Magasin 5 — Kaya Marché</t>
        </is>
      </c>
      <c r="E130" t="inlineStr">
        <is>
          <t>Salamatu Sankara</t>
        </is>
      </c>
      <c r="F130" t="n">
        <v>20670</v>
      </c>
      <c r="G130" t="inlineStr">
        <is>
          <t>Enduit de rebouchage 5 kg — réf 1</t>
        </is>
      </c>
      <c r="H130" t="inlineStr">
        <is>
          <t>Peinture</t>
        </is>
      </c>
      <c r="I130" t="n">
        <v>11</v>
      </c>
      <c r="J130" s="5" t="n">
        <v>4225</v>
      </c>
      <c r="K130" s="6" t="n">
        <v>0</v>
      </c>
      <c r="L130" s="5" t="n">
        <v>46475</v>
      </c>
      <c r="M130" s="5" t="n">
        <v>54841</v>
      </c>
      <c r="N130" s="5">
        <f>ROUND(I130*J130*(1-K130),0)</f>
        <v/>
      </c>
    </row>
    <row r="131">
      <c r="A131" t="inlineStr">
        <is>
          <t>T05-250401-086361</t>
        </is>
      </c>
      <c r="B131" s="4" t="n">
        <v>45748</v>
      </c>
      <c r="C131" t="inlineStr">
        <is>
          <t>10:42</t>
        </is>
      </c>
      <c r="D131" t="inlineStr">
        <is>
          <t>Magasin 5 — Kaya Marché</t>
        </is>
      </c>
      <c r="E131" t="inlineStr">
        <is>
          <t>Adama Bationo</t>
        </is>
      </c>
      <c r="F131" t="inlineStr"/>
      <c r="G131" t="inlineStr">
        <is>
          <t>Coude PVC 90° 100 — réf 1</t>
        </is>
      </c>
      <c r="H131" t="inlineStr">
        <is>
          <t>Plomberie</t>
        </is>
      </c>
      <c r="I131" t="n">
        <v>3</v>
      </c>
      <c r="J131" s="5" t="n">
        <v>4075</v>
      </c>
      <c r="K131" s="6" t="n">
        <v>0</v>
      </c>
      <c r="L131" s="5" t="n">
        <v>12225</v>
      </c>
      <c r="M131" s="5" t="n">
        <v>14425</v>
      </c>
      <c r="N131" s="5">
        <f>ROUND(I131*J131*(1-K131),0)</f>
        <v/>
      </c>
    </row>
    <row r="132">
      <c r="A132" t="inlineStr">
        <is>
          <t>T05-250401-086362</t>
        </is>
      </c>
      <c r="B132" s="4" t="n">
        <v>45748</v>
      </c>
      <c r="C132" t="inlineStr">
        <is>
          <t>16:34</t>
        </is>
      </c>
      <c r="D132" t="inlineStr">
        <is>
          <t>Magasin 5 — Kaya Marché</t>
        </is>
      </c>
      <c r="E132" t="inlineStr">
        <is>
          <t>Boureima Ouédraogo</t>
        </is>
      </c>
      <c r="F132" t="n">
        <v>2446</v>
      </c>
      <c r="G132" t="inlineStr">
        <is>
          <t>Peinture glycéro 1 L — réf 1</t>
        </is>
      </c>
      <c r="H132" t="inlineStr">
        <is>
          <t>Peinture</t>
        </is>
      </c>
      <c r="I132" t="n">
        <v>12</v>
      </c>
      <c r="J132" s="5" t="n">
        <v>3250</v>
      </c>
      <c r="K132" s="6" t="n">
        <v>0</v>
      </c>
      <c r="L132" s="5" t="n">
        <v>39000</v>
      </c>
      <c r="M132" s="5" t="n">
        <v>46020</v>
      </c>
      <c r="N132" s="5">
        <f>ROUND(I132*J132*(1-K132),0)</f>
        <v/>
      </c>
    </row>
    <row r="133">
      <c r="A133" t="inlineStr">
        <is>
          <t>T05-250401-086363</t>
        </is>
      </c>
      <c r="B133" s="4" t="n">
        <v>45748</v>
      </c>
      <c r="C133" t="inlineStr">
        <is>
          <t>15:34</t>
        </is>
      </c>
      <c r="D133" t="inlineStr">
        <is>
          <t>Magasin 5 — Kaya Marché</t>
        </is>
      </c>
      <c r="E133" t="inlineStr">
        <is>
          <t>Moussa Ilboudo</t>
        </is>
      </c>
      <c r="F133" t="n">
        <v>12082</v>
      </c>
      <c r="G133" t="inlineStr">
        <is>
          <t>Sac de transport 100 kg — réf 1</t>
        </is>
      </c>
      <c r="H133" t="inlineStr">
        <is>
          <t>Consommables</t>
        </is>
      </c>
      <c r="I133" t="n">
        <v>2</v>
      </c>
      <c r="J133" s="5" t="n">
        <v>8650</v>
      </c>
      <c r="K133" s="6" t="n">
        <v>0.04</v>
      </c>
      <c r="L133" s="5" t="n">
        <v>16608</v>
      </c>
      <c r="M133" s="5" t="n">
        <v>19597</v>
      </c>
      <c r="N133" s="5">
        <f>ROUND(I133*J133*(1-K133),0)</f>
        <v/>
      </c>
    </row>
    <row r="134">
      <c r="A134" t="inlineStr">
        <is>
          <t>T05-250401-086364</t>
        </is>
      </c>
      <c r="B134" s="4" t="n">
        <v>45748</v>
      </c>
      <c r="C134" t="inlineStr">
        <is>
          <t>11:16</t>
        </is>
      </c>
      <c r="D134" t="inlineStr">
        <is>
          <t>Magasin 5 — Kaya Marché</t>
        </is>
      </c>
      <c r="E134" t="inlineStr">
        <is>
          <t>Salamatu Sankara</t>
        </is>
      </c>
      <c r="F134" t="n">
        <v>367</v>
      </c>
      <c r="G134" t="inlineStr">
        <is>
          <t>Hourdis creux 12 — réf 2</t>
        </is>
      </c>
      <c r="H134" t="inlineStr">
        <is>
          <t>Matériaux</t>
        </is>
      </c>
      <c r="I134" t="n">
        <v>4</v>
      </c>
      <c r="J134" s="5" t="n">
        <v>1500</v>
      </c>
      <c r="K134" s="6" t="n">
        <v>0.04</v>
      </c>
      <c r="L134" s="5" t="n">
        <v>5760</v>
      </c>
      <c r="M134" s="5" t="n">
        <v>6797</v>
      </c>
      <c r="N134" s="5">
        <f>ROUND(I134*J134*(1-K134),0)</f>
        <v/>
      </c>
    </row>
    <row r="135">
      <c r="A135" t="inlineStr">
        <is>
          <t>T05-250401-086365</t>
        </is>
      </c>
      <c r="B135" s="4" t="n">
        <v>45748</v>
      </c>
      <c r="C135" t="inlineStr">
        <is>
          <t>15:20</t>
        </is>
      </c>
      <c r="D135" t="inlineStr">
        <is>
          <t>Magasin 5 — Kaya Marché</t>
        </is>
      </c>
      <c r="E135" t="inlineStr">
        <is>
          <t>Adama Bationo</t>
        </is>
      </c>
      <c r="F135" t="n">
        <v>0</v>
      </c>
      <c r="G135" t="inlineStr">
        <is>
          <t>Gravier 15/25 (m3) — réf 1</t>
        </is>
      </c>
      <c r="H135" t="inlineStr">
        <is>
          <t>Matériaux</t>
        </is>
      </c>
      <c r="I135" t="n">
        <v>5</v>
      </c>
      <c r="J135" s="5" t="n">
        <v>30550</v>
      </c>
      <c r="K135" s="6" t="n">
        <v>0</v>
      </c>
      <c r="L135" s="5" t="n">
        <v>152750</v>
      </c>
      <c r="M135" s="5" t="n">
        <v>180245</v>
      </c>
      <c r="N135" s="5">
        <f>ROUND(I135*J135*(1-K135),0)</f>
        <v/>
      </c>
    </row>
    <row r="136">
      <c r="A136" t="inlineStr">
        <is>
          <t>T05-250401-086366</t>
        </is>
      </c>
      <c r="B136" s="4" t="n">
        <v>45748</v>
      </c>
      <c r="C136" t="inlineStr">
        <is>
          <t>10:34</t>
        </is>
      </c>
      <c r="D136" t="inlineStr">
        <is>
          <t>Magasin 5 — Kaya Marché</t>
        </is>
      </c>
      <c r="E136" t="inlineStr">
        <is>
          <t>Adama Bationo</t>
        </is>
      </c>
      <c r="F136" t="n">
        <v>2661</v>
      </c>
      <c r="G136" t="inlineStr">
        <is>
          <t>Douche de toilettes — réf 2</t>
        </is>
      </c>
      <c r="H136" t="inlineStr">
        <is>
          <t>Plomberie</t>
        </is>
      </c>
      <c r="I136" t="n">
        <v>13</v>
      </c>
      <c r="J136" s="5" t="n">
        <v>30850</v>
      </c>
      <c r="K136" s="6" t="n">
        <v>0</v>
      </c>
      <c r="L136" s="5" t="n">
        <v>401050</v>
      </c>
      <c r="M136" s="5" t="n">
        <v>473239</v>
      </c>
      <c r="N136" s="5">
        <f>ROUND(I136*J136*(1-K136),0)</f>
        <v/>
      </c>
    </row>
    <row r="137">
      <c r="A137" t="inlineStr">
        <is>
          <t>T05-250401-086367</t>
        </is>
      </c>
      <c r="B137" s="4" t="n">
        <v>45748</v>
      </c>
      <c r="C137" t="inlineStr">
        <is>
          <t>12:11</t>
        </is>
      </c>
      <c r="D137" t="inlineStr">
        <is>
          <t>Magasin 5 — Kaya Marché</t>
        </is>
      </c>
      <c r="E137" t="inlineStr">
        <is>
          <t>Boureima Ouédraogo</t>
        </is>
      </c>
      <c r="F137" t="n">
        <v>12489</v>
      </c>
      <c r="G137" t="inlineStr">
        <is>
          <t>Pavé autobloquant — réf 1</t>
        </is>
      </c>
      <c r="H137" t="inlineStr">
        <is>
          <t>Matériaux</t>
        </is>
      </c>
      <c r="I137" t="n">
        <v>1</v>
      </c>
      <c r="J137" s="5" t="n">
        <v>1125</v>
      </c>
      <c r="K137" s="6" t="n">
        <v>0</v>
      </c>
      <c r="L137" s="5" t="n">
        <v>1125</v>
      </c>
      <c r="M137" s="5" t="n">
        <v>1327</v>
      </c>
      <c r="N137" s="5">
        <f>ROUND(I137*J137*(1-K137),0)</f>
        <v/>
      </c>
    </row>
    <row r="138">
      <c r="A138" t="inlineStr">
        <is>
          <t>T05-250401-086368</t>
        </is>
      </c>
      <c r="B138" s="4" t="n">
        <v>45748</v>
      </c>
      <c r="C138" t="inlineStr">
        <is>
          <t>10:06</t>
        </is>
      </c>
      <c r="D138" t="inlineStr">
        <is>
          <t>Magasin 5 — Kaya Marché</t>
        </is>
      </c>
      <c r="E138" t="inlineStr">
        <is>
          <t>Boureima Ouédraogo</t>
        </is>
      </c>
      <c r="F138" t="n">
        <v>9106</v>
      </c>
      <c r="G138" t="inlineStr">
        <is>
          <t>Tout-venant (m3) — réf 2</t>
        </is>
      </c>
      <c r="H138" t="inlineStr">
        <is>
          <t>Matériaux</t>
        </is>
      </c>
      <c r="I138" t="n">
        <v>5</v>
      </c>
      <c r="J138" s="5" t="n">
        <v>23400</v>
      </c>
      <c r="K138" s="6" t="n">
        <v>0</v>
      </c>
      <c r="L138" s="5" t="n">
        <v>117000</v>
      </c>
      <c r="M138" s="5" t="n">
        <v>138060</v>
      </c>
      <c r="N138" s="5">
        <f>ROUND(I138*J138*(1-K138),0)</f>
        <v/>
      </c>
    </row>
    <row r="139">
      <c r="A139" t="inlineStr">
        <is>
          <t>T05-250401-086369</t>
        </is>
      </c>
      <c r="B139" s="4" t="n">
        <v>45748</v>
      </c>
      <c r="C139" t="inlineStr">
        <is>
          <t>12:57</t>
        </is>
      </c>
      <c r="D139" t="inlineStr">
        <is>
          <t>Magasin 5 — Kaya Marché</t>
        </is>
      </c>
      <c r="E139" t="inlineStr">
        <is>
          <t>Boureima Ouédraogo</t>
        </is>
      </c>
      <c r="F139" t="n">
        <v>21755</v>
      </c>
      <c r="G139" t="inlineStr">
        <is>
          <t>Perforateur 800 W — réf 1</t>
        </is>
      </c>
      <c r="H139" t="inlineStr">
        <is>
          <t>Quincaillerie</t>
        </is>
      </c>
      <c r="I139" t="n">
        <v>2</v>
      </c>
      <c r="J139" s="5" t="n">
        <v>8000</v>
      </c>
      <c r="K139" s="6" t="n">
        <v>0.08</v>
      </c>
      <c r="L139" s="5" t="n">
        <v>14720</v>
      </c>
      <c r="M139" s="5" t="n">
        <v>17370</v>
      </c>
      <c r="N139" s="5">
        <f>ROUND(I139*J139*(1-K139),0)</f>
        <v/>
      </c>
    </row>
    <row r="140">
      <c r="A140" t="inlineStr">
        <is>
          <t>T05-250401-086370</t>
        </is>
      </c>
      <c r="B140" s="4" t="n">
        <v>45748</v>
      </c>
      <c r="C140" t="inlineStr">
        <is>
          <t>13:30</t>
        </is>
      </c>
      <c r="D140" t="inlineStr">
        <is>
          <t>Magasin 5 — Kaya Marché</t>
        </is>
      </c>
      <c r="E140" t="inlineStr">
        <is>
          <t>Moussa Ilboudo</t>
        </is>
      </c>
      <c r="F140" t="n">
        <v>0</v>
      </c>
      <c r="G140" t="inlineStr">
        <is>
          <t>Perforateur 800 W — réf 2</t>
        </is>
      </c>
      <c r="H140" t="inlineStr">
        <is>
          <t>Quincaillerie</t>
        </is>
      </c>
      <c r="I140" t="n">
        <v>2</v>
      </c>
      <c r="J140" s="5" t="n">
        <v>5800</v>
      </c>
      <c r="K140" s="6" t="n">
        <v>0</v>
      </c>
      <c r="L140" s="5" t="n">
        <v>11600</v>
      </c>
      <c r="M140" s="5" t="n">
        <v>13688</v>
      </c>
      <c r="N140" s="5">
        <f>ROUND(I140*J140*(1-K140),0)</f>
        <v/>
      </c>
    </row>
    <row r="141">
      <c r="A141" t="inlineStr">
        <is>
          <t>T05-250401-086371</t>
        </is>
      </c>
      <c r="B141" s="4" t="n">
        <v>45748</v>
      </c>
      <c r="C141" t="inlineStr">
        <is>
          <t>17:32</t>
        </is>
      </c>
      <c r="D141" t="inlineStr">
        <is>
          <t>Magasin 5 — Kaya Marché</t>
        </is>
      </c>
      <c r="E141" t="inlineStr">
        <is>
          <t>Adama Bationo</t>
        </is>
      </c>
      <c r="F141" t="n">
        <v>3959</v>
      </c>
      <c r="G141" t="inlineStr">
        <is>
          <t>Passe-câble étanche — réf 1</t>
        </is>
      </c>
      <c r="H141" t="inlineStr">
        <is>
          <t>Electricité</t>
        </is>
      </c>
      <c r="I141" t="n">
        <v>2</v>
      </c>
      <c r="J141" s="5" t="n">
        <v>16775</v>
      </c>
      <c r="K141" s="6" t="n">
        <v>0</v>
      </c>
      <c r="L141" s="5" t="n">
        <v>33550</v>
      </c>
      <c r="M141" s="5" t="n">
        <v>39589</v>
      </c>
      <c r="N141" s="5">
        <f>ROUND(I141*J141*(1-K141),0)</f>
        <v/>
      </c>
    </row>
    <row r="142">
      <c r="A142" t="inlineStr">
        <is>
          <t>T05-250401-086372</t>
        </is>
      </c>
      <c r="B142" s="4" t="n">
        <v>45748</v>
      </c>
      <c r="C142" t="inlineStr">
        <is>
          <t>16:07</t>
        </is>
      </c>
      <c r="D142" t="inlineStr">
        <is>
          <t>Magasin 5 — Kaya Marché</t>
        </is>
      </c>
      <c r="E142" t="inlineStr">
        <is>
          <t>Adama Bationo</t>
        </is>
      </c>
      <c r="F142" t="n">
        <v>18885</v>
      </c>
      <c r="G142" t="inlineStr">
        <is>
          <t>Sable de rivière (m3) — réf 1</t>
        </is>
      </c>
      <c r="H142" t="inlineStr">
        <is>
          <t>Matériaux</t>
        </is>
      </c>
      <c r="I142" t="n">
        <v>4</v>
      </c>
      <c r="J142" s="5" t="n">
        <v>25975</v>
      </c>
      <c r="K142" s="6" t="n">
        <v>0</v>
      </c>
      <c r="L142" s="5" t="n">
        <v>103900</v>
      </c>
      <c r="M142" s="5" t="n">
        <v>122602</v>
      </c>
      <c r="N142" s="5">
        <f>ROUND(I142*J142*(1-K142),0)</f>
        <v/>
      </c>
    </row>
    <row r="143">
      <c r="A143" t="inlineStr">
        <is>
          <t>T05-250401-086373</t>
        </is>
      </c>
      <c r="B143" s="4" t="n">
        <v>45748</v>
      </c>
      <c r="C143" t="inlineStr">
        <is>
          <t>17:07</t>
        </is>
      </c>
      <c r="D143" t="inlineStr">
        <is>
          <t>Magasin 5 — Kaya Marché</t>
        </is>
      </c>
      <c r="E143" t="inlineStr">
        <is>
          <t>Adama Bationo</t>
        </is>
      </c>
      <c r="F143" t="n">
        <v>22027</v>
      </c>
      <c r="G143" t="inlineStr">
        <is>
          <t>Cheville nylon 8 mm (sachet) — réf 2</t>
        </is>
      </c>
      <c r="H143" t="inlineStr">
        <is>
          <t>Quincaillerie</t>
        </is>
      </c>
      <c r="I143" t="n">
        <v>11</v>
      </c>
      <c r="J143" s="5" t="n">
        <v>2175</v>
      </c>
      <c r="K143" s="6" t="n">
        <v>0.04</v>
      </c>
      <c r="L143" s="5" t="n">
        <v>22968</v>
      </c>
      <c r="M143" s="5" t="n">
        <v>27102</v>
      </c>
      <c r="N143" s="5">
        <f>ROUND(I143*J143*(1-K143),0)</f>
        <v/>
      </c>
    </row>
    <row r="144">
      <c r="A144" t="inlineStr">
        <is>
          <t>T05-250401-086374</t>
        </is>
      </c>
      <c r="B144" s="4" t="n">
        <v>45748</v>
      </c>
      <c r="C144" t="inlineStr">
        <is>
          <t>11:48</t>
        </is>
      </c>
      <c r="D144" t="inlineStr">
        <is>
          <t>Magasin 5 — Kaya Marché</t>
        </is>
      </c>
      <c r="E144" t="inlineStr">
        <is>
          <t>Salamatu Sankara</t>
        </is>
      </c>
      <c r="F144" t="inlineStr"/>
      <c r="G144" t="inlineStr">
        <is>
          <t>Cheville nylon 8 mm (sachet) — réf 2</t>
        </is>
      </c>
      <c r="H144" t="inlineStr">
        <is>
          <t>Quincaillerie</t>
        </is>
      </c>
      <c r="I144" t="n">
        <v>5</v>
      </c>
      <c r="J144" s="5" t="n">
        <v>2150</v>
      </c>
      <c r="K144" s="6" t="n">
        <v>0</v>
      </c>
      <c r="L144" s="5" t="n">
        <v>10750</v>
      </c>
      <c r="M144" s="5" t="n">
        <v>12685</v>
      </c>
      <c r="N144" s="5">
        <f>ROUND(I144*J144*(1-K144),0)</f>
        <v/>
      </c>
    </row>
    <row r="145">
      <c r="A145" t="inlineStr">
        <is>
          <t>T05-250401-086375</t>
        </is>
      </c>
      <c r="B145" s="4" t="n">
        <v>45748</v>
      </c>
      <c r="C145" t="inlineStr">
        <is>
          <t>15:23</t>
        </is>
      </c>
      <c r="D145" t="inlineStr">
        <is>
          <t>Magasin 5 — Kaya Marché</t>
        </is>
      </c>
      <c r="E145" t="inlineStr">
        <is>
          <t>Moussa Ilboudo</t>
        </is>
      </c>
      <c r="F145" t="n">
        <v>5345</v>
      </c>
      <c r="G145" t="inlineStr">
        <is>
          <t>Pince coupante 200 mm — réf 1</t>
        </is>
      </c>
      <c r="H145" t="inlineStr">
        <is>
          <t>Quincaillerie</t>
        </is>
      </c>
      <c r="I145" t="n">
        <v>-3</v>
      </c>
      <c r="J145" s="5" t="n">
        <v>5200</v>
      </c>
      <c r="K145" s="6" t="n">
        <v>0</v>
      </c>
      <c r="L145" s="5" t="n">
        <v>-15600</v>
      </c>
      <c r="M145" s="5" t="n">
        <v>-18408</v>
      </c>
      <c r="N145" s="5">
        <f>ROUND(I145*J145*(1-K145),0)</f>
        <v/>
      </c>
    </row>
    <row r="146">
      <c r="A146" t="inlineStr">
        <is>
          <t>T05-250401-086376</t>
        </is>
      </c>
      <c r="B146" s="4" t="n">
        <v>45748</v>
      </c>
      <c r="C146" t="inlineStr">
        <is>
          <t>16:39</t>
        </is>
      </c>
      <c r="D146" t="inlineStr">
        <is>
          <t>Magasin 5 — Kaya Marché</t>
        </is>
      </c>
      <c r="E146" t="inlineStr">
        <is>
          <t>Moussa Ilboudo</t>
        </is>
      </c>
      <c r="F146" t="n">
        <v>19650</v>
      </c>
      <c r="G146" t="inlineStr">
        <is>
          <t>Bêche à manche bois — réf 2</t>
        </is>
      </c>
      <c r="H146" t="inlineStr">
        <is>
          <t>Consommables</t>
        </is>
      </c>
      <c r="I146" t="n">
        <v>-3</v>
      </c>
      <c r="J146" s="5" t="n">
        <v>5800</v>
      </c>
      <c r="K146" s="6" t="n">
        <v>0.04</v>
      </c>
      <c r="L146" s="5" t="n">
        <v>-16704</v>
      </c>
      <c r="M146" s="5" t="n">
        <v>-19711</v>
      </c>
      <c r="N146" s="5">
        <f>ROUND(I146*J146*(1-K146),0)</f>
        <v/>
      </c>
    </row>
    <row r="147">
      <c r="A147" t="inlineStr">
        <is>
          <t>T05-250401-086377</t>
        </is>
      </c>
      <c r="B147" s="4" t="n">
        <v>45748</v>
      </c>
      <c r="C147" t="inlineStr">
        <is>
          <t>11:37</t>
        </is>
      </c>
      <c r="D147" t="inlineStr">
        <is>
          <t>Magasin 5 — Kaya Marché</t>
        </is>
      </c>
      <c r="E147" t="inlineStr">
        <is>
          <t>Adama Bationo</t>
        </is>
      </c>
      <c r="F147" t="n">
        <v>23136</v>
      </c>
      <c r="G147" t="inlineStr">
        <is>
          <t>Tableau 18 modules — réf 1</t>
        </is>
      </c>
      <c r="H147" t="inlineStr">
        <is>
          <t>Electricité</t>
        </is>
      </c>
      <c r="I147" t="n">
        <v>3</v>
      </c>
      <c r="J147" s="5" t="n">
        <v>8775</v>
      </c>
      <c r="K147" s="6" t="n">
        <v>0.04</v>
      </c>
      <c r="L147" s="5" t="n">
        <v>25272</v>
      </c>
      <c r="M147" s="5" t="n">
        <v>29821</v>
      </c>
      <c r="N147" s="5">
        <f>ROUND(I147*J147*(1-K147),0)</f>
        <v/>
      </c>
    </row>
    <row r="148">
      <c r="A148" t="inlineStr">
        <is>
          <t>T05-250401-086378</t>
        </is>
      </c>
      <c r="B148" s="4" t="n">
        <v>45748</v>
      </c>
      <c r="C148" t="inlineStr">
        <is>
          <t>16:36</t>
        </is>
      </c>
      <c r="D148" t="inlineStr">
        <is>
          <t>Magasin 5 — Kaya Marché</t>
        </is>
      </c>
      <c r="E148" t="inlineStr">
        <is>
          <t>Adama Bationo</t>
        </is>
      </c>
      <c r="F148" t="n">
        <v>15288</v>
      </c>
      <c r="G148" t="inlineStr">
        <is>
          <t>Scie égoïne 500 mm — réf 1</t>
        </is>
      </c>
      <c r="H148" t="inlineStr">
        <is>
          <t>Quincaillerie</t>
        </is>
      </c>
      <c r="I148" t="n">
        <v>4</v>
      </c>
      <c r="J148" s="5" t="n">
        <v>10975</v>
      </c>
      <c r="K148" s="6" t="n">
        <v>0</v>
      </c>
      <c r="L148" s="5" t="n">
        <v>43900</v>
      </c>
      <c r="M148" s="5" t="n">
        <v>51802</v>
      </c>
      <c r="N148" s="5">
        <f>ROUND(I148*J148*(1-K148),0)</f>
        <v/>
      </c>
    </row>
    <row r="149">
      <c r="A149" t="inlineStr">
        <is>
          <t>T05-250401-086379</t>
        </is>
      </c>
      <c r="B149" s="4" t="n">
        <v>45748</v>
      </c>
      <c r="C149" t="inlineStr">
        <is>
          <t>16:47</t>
        </is>
      </c>
      <c r="D149" t="inlineStr">
        <is>
          <t>Magasin 5 — Kaya Marché</t>
        </is>
      </c>
      <c r="E149" t="inlineStr">
        <is>
          <t>Salamatu Sankara</t>
        </is>
      </c>
      <c r="F149" t="n">
        <v>9940</v>
      </c>
      <c r="G149" t="inlineStr">
        <is>
          <t>Hourdis creux 12 — réf 2</t>
        </is>
      </c>
      <c r="H149" t="inlineStr">
        <is>
          <t>Matériaux</t>
        </is>
      </c>
      <c r="I149" t="n">
        <v>4</v>
      </c>
      <c r="J149" s="5" t="n">
        <v>1550</v>
      </c>
      <c r="K149" s="6" t="n">
        <v>0</v>
      </c>
      <c r="L149" s="5" t="n">
        <v>6200</v>
      </c>
      <c r="M149" s="5" t="n">
        <v>7316</v>
      </c>
      <c r="N149" s="5">
        <f>ROUND(I149*J149*(1-K149),0)</f>
        <v/>
      </c>
    </row>
    <row r="150">
      <c r="A150" t="inlineStr">
        <is>
          <t>T05-250401-086380</t>
        </is>
      </c>
      <c r="B150" s="4" t="n">
        <v>45748</v>
      </c>
      <c r="C150" t="inlineStr">
        <is>
          <t>17:13</t>
        </is>
      </c>
      <c r="D150" t="inlineStr">
        <is>
          <t>Magasin 5 — Kaya Marché</t>
        </is>
      </c>
      <c r="E150" t="inlineStr">
        <is>
          <t>Salamatu Sankara</t>
        </is>
      </c>
      <c r="F150" t="n">
        <v>11981</v>
      </c>
      <c r="G150" t="inlineStr">
        <is>
          <t>Tournevis cruciforme PH2 — réf 1</t>
        </is>
      </c>
      <c r="H150" t="inlineStr">
        <is>
          <t>Quincaillerie</t>
        </is>
      </c>
      <c r="I150" t="n">
        <v>10</v>
      </c>
      <c r="J150" s="5" t="n">
        <v>8200</v>
      </c>
      <c r="K150" s="6" t="n">
        <v>0</v>
      </c>
      <c r="L150" s="5" t="n">
        <v>82000</v>
      </c>
      <c r="M150" s="5" t="n">
        <v>96760</v>
      </c>
      <c r="N150" s="5">
        <f>ROUND(I150*J150*(1-K150),0)</f>
        <v/>
      </c>
    </row>
    <row r="151">
      <c r="A151" t="inlineStr">
        <is>
          <t>T05-250402-086501</t>
        </is>
      </c>
      <c r="B151" s="4" t="n">
        <v>45749</v>
      </c>
      <c r="C151" t="inlineStr">
        <is>
          <t>08:43</t>
        </is>
      </c>
      <c r="D151" t="inlineStr">
        <is>
          <t>Magasin 5 — Kaya Marché</t>
        </is>
      </c>
      <c r="E151" t="inlineStr">
        <is>
          <t>Adama Bationo</t>
        </is>
      </c>
      <c r="F151" t="n">
        <v>19457</v>
      </c>
      <c r="G151" t="inlineStr">
        <is>
          <t>Brouette 90 L — réf 2</t>
        </is>
      </c>
      <c r="H151" t="inlineStr">
        <is>
          <t>Consommables</t>
        </is>
      </c>
      <c r="I151" t="n">
        <v>7</v>
      </c>
      <c r="J151" s="5" t="n">
        <v>10125</v>
      </c>
      <c r="K151" s="6" t="n">
        <v>0.03</v>
      </c>
      <c r="L151" s="5" t="n">
        <v>68749</v>
      </c>
      <c r="M151" s="5" t="n">
        <v>81124</v>
      </c>
      <c r="N151" s="5">
        <f>ROUND(I151*J151*(1-K151),0)</f>
        <v/>
      </c>
    </row>
    <row r="152">
      <c r="A152" t="inlineStr">
        <is>
          <t>T05-250402-086501</t>
        </is>
      </c>
      <c r="B152" s="4" t="n">
        <v>45749</v>
      </c>
      <c r="C152" t="inlineStr">
        <is>
          <t>10:29</t>
        </is>
      </c>
      <c r="D152" t="inlineStr">
        <is>
          <t>Magasin 5 — Kaya Marché</t>
        </is>
      </c>
      <c r="E152" t="inlineStr">
        <is>
          <t>Salamatu Sankara</t>
        </is>
      </c>
      <c r="F152" t="n">
        <v>7706</v>
      </c>
      <c r="G152" t="inlineStr">
        <is>
          <t>Peinture glycéro 1 L — réf 2</t>
        </is>
      </c>
      <c r="H152" t="inlineStr">
        <is>
          <t>Peinture</t>
        </is>
      </c>
      <c r="I152" t="n">
        <v>16</v>
      </c>
      <c r="J152" s="5" t="n">
        <v>3900</v>
      </c>
      <c r="K152" s="6" t="n">
        <v>0.04</v>
      </c>
      <c r="L152" s="5" t="n">
        <v>59904</v>
      </c>
      <c r="M152" s="5" t="n">
        <v>70687</v>
      </c>
      <c r="N152" s="5">
        <f>ROUND(I152*J152*(1-K152),0)</f>
        <v/>
      </c>
    </row>
    <row r="153">
      <c r="A153" t="inlineStr">
        <is>
          <t>T05-250402-086502</t>
        </is>
      </c>
      <c r="B153" s="4" t="n">
        <v>45749</v>
      </c>
      <c r="C153" t="inlineStr">
        <is>
          <t>17:58</t>
        </is>
      </c>
      <c r="D153" t="inlineStr">
        <is>
          <t>Magasin 5 — Kaya Marché</t>
        </is>
      </c>
      <c r="E153" t="inlineStr">
        <is>
          <t>Salamatu Sankara</t>
        </is>
      </c>
      <c r="F153" t="n">
        <v>8920</v>
      </c>
      <c r="G153" t="inlineStr">
        <is>
          <t>Chasse d'eau 6 L — réf 1</t>
        </is>
      </c>
      <c r="H153" t="inlineStr">
        <is>
          <t>Plomberie</t>
        </is>
      </c>
      <c r="I153" t="n">
        <v>3</v>
      </c>
      <c r="J153" s="5" t="n">
        <v>25900</v>
      </c>
      <c r="K153" s="6" t="n">
        <v>0.04</v>
      </c>
      <c r="L153" s="5" t="n">
        <v>74592</v>
      </c>
      <c r="M153" s="5" t="n">
        <v>88019</v>
      </c>
      <c r="N153" s="5">
        <f>ROUND(I153*J153*(1-K153),0)</f>
        <v/>
      </c>
    </row>
    <row r="154">
      <c r="A154" t="inlineStr">
        <is>
          <t>T05-250402-086502</t>
        </is>
      </c>
      <c r="B154" s="4" t="n">
        <v>45749</v>
      </c>
      <c r="C154" t="inlineStr">
        <is>
          <t>08:11</t>
        </is>
      </c>
      <c r="D154" t="inlineStr">
        <is>
          <t>Magasin 5 — Kaya Marché</t>
        </is>
      </c>
      <c r="E154" t="inlineStr">
        <is>
          <t>Adama Bationo</t>
        </is>
      </c>
      <c r="F154" t="n">
        <v>6563</v>
      </c>
      <c r="G154" t="inlineStr">
        <is>
          <t>Écrou hexagonal 10 (sachet) — réf 1</t>
        </is>
      </c>
      <c r="H154" t="inlineStr">
        <is>
          <t>Quincaillerie</t>
        </is>
      </c>
      <c r="I154" t="n">
        <v>-4</v>
      </c>
      <c r="J154" s="5" t="n">
        <v>1450</v>
      </c>
      <c r="K154" s="6" t="n">
        <v>0.04</v>
      </c>
      <c r="L154" s="5" t="n">
        <v>-5568</v>
      </c>
      <c r="M154" s="5" t="n">
        <v>-6570</v>
      </c>
      <c r="N154" s="5">
        <f>ROUND(I154*J154*(1-K154),0)</f>
        <v/>
      </c>
    </row>
    <row r="155">
      <c r="A155" t="inlineStr">
        <is>
          <t>T05-250402-086503</t>
        </is>
      </c>
      <c r="B155" s="4" t="n">
        <v>45749</v>
      </c>
      <c r="C155" t="inlineStr">
        <is>
          <t>18:21</t>
        </is>
      </c>
      <c r="D155" t="inlineStr">
        <is>
          <t>Magasin 5 — Kaya Marché</t>
        </is>
      </c>
      <c r="E155" t="inlineStr">
        <is>
          <t>Salamatu Sankara</t>
        </is>
      </c>
      <c r="F155" t="n">
        <v>2883</v>
      </c>
      <c r="G155" t="inlineStr">
        <is>
          <t>Gravier 15/25 (m3) — réf 1</t>
        </is>
      </c>
      <c r="H155" t="inlineStr">
        <is>
          <t>Matériaux</t>
        </is>
      </c>
      <c r="I155" t="n">
        <v>4</v>
      </c>
      <c r="J155" s="5" t="n">
        <v>30950</v>
      </c>
      <c r="K155" s="6" t="n">
        <v>0.08</v>
      </c>
      <c r="L155" s="5" t="n">
        <v>113896</v>
      </c>
      <c r="M155" s="5" t="n">
        <v>134397</v>
      </c>
      <c r="N155" s="5">
        <f>ROUND(I155*J155*(1-K155),0)</f>
        <v/>
      </c>
    </row>
    <row r="156">
      <c r="A156" t="inlineStr">
        <is>
          <t>T05-250402-086503</t>
        </is>
      </c>
      <c r="B156" s="4" t="n">
        <v>45749</v>
      </c>
      <c r="C156" t="inlineStr">
        <is>
          <t>18:23</t>
        </is>
      </c>
      <c r="D156" t="inlineStr">
        <is>
          <t>Magasin 5 — Kaya Marché</t>
        </is>
      </c>
      <c r="E156" t="inlineStr">
        <is>
          <t>Salamatu Sankara</t>
        </is>
      </c>
      <c r="F156" t="n">
        <v>14971</v>
      </c>
      <c r="G156" t="inlineStr">
        <is>
          <t>Ciment CPJ45 50 kg — réf 2</t>
        </is>
      </c>
      <c r="H156" t="inlineStr">
        <is>
          <t>Matériaux</t>
        </is>
      </c>
      <c r="I156" t="n">
        <v>17</v>
      </c>
      <c r="J156" s="5" t="n">
        <v>6475</v>
      </c>
      <c r="K156" s="6" t="n">
        <v>0.04</v>
      </c>
      <c r="L156" s="5" t="n">
        <v>105672</v>
      </c>
      <c r="M156" s="5" t="n">
        <v>124693</v>
      </c>
      <c r="N156" s="5">
        <f>ROUND(I156*J156*(1-K156),0)</f>
        <v/>
      </c>
    </row>
    <row r="157">
      <c r="A157" t="inlineStr">
        <is>
          <t>T05-250402-086504</t>
        </is>
      </c>
      <c r="B157" s="4" t="n">
        <v>45749</v>
      </c>
      <c r="C157" t="inlineStr">
        <is>
          <t>12:02</t>
        </is>
      </c>
      <c r="D157" t="inlineStr">
        <is>
          <t>Magasin 5 — Kaya Marché</t>
        </is>
      </c>
      <c r="E157" t="inlineStr">
        <is>
          <t>Boureima Ouédraogo</t>
        </is>
      </c>
      <c r="F157" t="n">
        <v>5989</v>
      </c>
      <c r="G157" t="inlineStr">
        <is>
          <t>Panneau MDF 12 mm — réf 1</t>
        </is>
      </c>
      <c r="H157" t="inlineStr">
        <is>
          <t>Bois &amp; panneaux</t>
        </is>
      </c>
      <c r="I157" t="n">
        <v>3</v>
      </c>
      <c r="J157" s="5" t="n">
        <v>17675</v>
      </c>
      <c r="K157" s="6" t="n">
        <v>0</v>
      </c>
      <c r="L157" s="5" t="n">
        <v>53025</v>
      </c>
      <c r="M157" s="5" t="n">
        <v>62569</v>
      </c>
      <c r="N157" s="5">
        <f>ROUND(I157*J157*(1-K157),0)</f>
        <v/>
      </c>
    </row>
    <row r="158">
      <c r="A158" t="inlineStr">
        <is>
          <t>T05-250402-086504</t>
        </is>
      </c>
      <c r="B158" s="4" t="n">
        <v>45749</v>
      </c>
      <c r="C158" t="inlineStr">
        <is>
          <t>18:11</t>
        </is>
      </c>
      <c r="D158" t="inlineStr">
        <is>
          <t>Magasin 5 — Kaya Marché</t>
        </is>
      </c>
      <c r="E158" t="inlineStr">
        <is>
          <t>Boureima Ouédraogo</t>
        </is>
      </c>
      <c r="F158" t="n">
        <v>0</v>
      </c>
      <c r="G158" t="inlineStr">
        <is>
          <t>Sac de transport 100 kg — réf 2</t>
        </is>
      </c>
      <c r="H158" t="inlineStr">
        <is>
          <t>Consommables</t>
        </is>
      </c>
      <c r="I158" t="n">
        <v>-1</v>
      </c>
      <c r="J158" s="5" t="n">
        <v>7675</v>
      </c>
      <c r="K158" s="6" t="n">
        <v>0</v>
      </c>
      <c r="L158" s="5" t="n">
        <v>-7675</v>
      </c>
      <c r="M158" s="5" t="n">
        <v>-9057</v>
      </c>
      <c r="N158" s="5">
        <f>ROUND(I158*J158*(1-K158),0)</f>
        <v/>
      </c>
    </row>
    <row r="159">
      <c r="A159" t="inlineStr">
        <is>
          <t>T05-250402-086505</t>
        </is>
      </c>
      <c r="B159" s="4" t="n">
        <v>45749</v>
      </c>
      <c r="C159" t="inlineStr">
        <is>
          <t>14:55</t>
        </is>
      </c>
      <c r="D159" t="inlineStr">
        <is>
          <t>Magasin 5 — Kaya Marché</t>
        </is>
      </c>
      <c r="E159" t="inlineStr">
        <is>
          <t>Boureima Ouédraogo</t>
        </is>
      </c>
      <c r="F159" t="n">
        <v>7693</v>
      </c>
      <c r="G159" t="inlineStr">
        <is>
          <t>Parpaing 15 aggloméré — réf 1</t>
        </is>
      </c>
      <c r="H159" t="inlineStr">
        <is>
          <t>Matériaux</t>
        </is>
      </c>
      <c r="I159" t="n">
        <v>27</v>
      </c>
      <c r="J159" s="5" t="n">
        <v>1450</v>
      </c>
      <c r="K159" s="6" t="n">
        <v>0.08</v>
      </c>
      <c r="L159" s="5" t="n">
        <v>36018</v>
      </c>
      <c r="M159" s="5" t="n">
        <v>42501</v>
      </c>
      <c r="N159" s="5">
        <f>ROUND(I159*J159*(1-K159),0)</f>
        <v/>
      </c>
    </row>
    <row r="160">
      <c r="A160" t="inlineStr">
        <is>
          <t>T05-250402-086505</t>
        </is>
      </c>
      <c r="B160" s="4" t="n">
        <v>45749</v>
      </c>
      <c r="C160" t="inlineStr">
        <is>
          <t>16:51</t>
        </is>
      </c>
      <c r="D160" t="inlineStr">
        <is>
          <t>Magasin 5 — Kaya Marché</t>
        </is>
      </c>
      <c r="E160" t="inlineStr">
        <is>
          <t>Moussa Ilboudo</t>
        </is>
      </c>
      <c r="F160" t="n">
        <v>0</v>
      </c>
      <c r="G160" t="inlineStr">
        <is>
          <t>Pointe 100 mm (kg) — réf 1</t>
        </is>
      </c>
      <c r="H160" t="inlineStr">
        <is>
          <t>Quincaillerie</t>
        </is>
      </c>
      <c r="I160" t="n">
        <v>-2</v>
      </c>
      <c r="J160" s="5" t="n">
        <v>2500</v>
      </c>
      <c r="K160" s="6" t="n">
        <v>0</v>
      </c>
      <c r="L160" s="5" t="n">
        <v>-5000</v>
      </c>
      <c r="M160" s="5" t="n">
        <v>-5900</v>
      </c>
      <c r="N160" s="5">
        <f>ROUND(I160*J160*(1-K160),0)</f>
        <v/>
      </c>
    </row>
    <row r="161">
      <c r="A161" t="inlineStr">
        <is>
          <t>T05-250402-086506</t>
        </is>
      </c>
      <c r="B161" s="4" t="n">
        <v>45749</v>
      </c>
      <c r="C161" t="inlineStr">
        <is>
          <t>07:25</t>
        </is>
      </c>
      <c r="D161" t="inlineStr">
        <is>
          <t>Magasin 5 — Kaya Marché</t>
        </is>
      </c>
      <c r="E161" t="inlineStr">
        <is>
          <t>Boureima Ouédraogo</t>
        </is>
      </c>
      <c r="F161" t="n">
        <v>4253</v>
      </c>
      <c r="G161" t="inlineStr">
        <is>
          <t>Lavabo céramique — réf 1</t>
        </is>
      </c>
      <c r="H161" t="inlineStr">
        <is>
          <t>Plomberie</t>
        </is>
      </c>
      <c r="I161" t="n">
        <v>12</v>
      </c>
      <c r="J161" s="5" t="n">
        <v>36950</v>
      </c>
      <c r="K161" s="6" t="n">
        <v>0.08</v>
      </c>
      <c r="L161" s="5" t="n">
        <v>407928</v>
      </c>
      <c r="M161" s="5" t="n">
        <v>481355</v>
      </c>
      <c r="N161" s="5">
        <f>ROUND(I161*J161*(1-K161),0)</f>
        <v/>
      </c>
    </row>
    <row r="162">
      <c r="A162" t="inlineStr">
        <is>
          <t>T05-250501-090469</t>
        </is>
      </c>
      <c r="B162" s="4" t="n">
        <v>45778</v>
      </c>
      <c r="C162" t="inlineStr">
        <is>
          <t>10:30</t>
        </is>
      </c>
      <c r="D162" t="inlineStr">
        <is>
          <t>Magasin 5 — Kaya Marché</t>
        </is>
      </c>
      <c r="E162" t="inlineStr">
        <is>
          <t>Salamatu Sankara</t>
        </is>
      </c>
      <c r="F162" t="n">
        <v>6584</v>
      </c>
      <c r="G162" t="inlineStr">
        <is>
          <t>Peinture glycéro 1 L — réf 2</t>
        </is>
      </c>
      <c r="H162" t="inlineStr">
        <is>
          <t>Peinture</t>
        </is>
      </c>
      <c r="I162" t="n">
        <v>10</v>
      </c>
      <c r="J162" s="5" t="n">
        <v>3800</v>
      </c>
      <c r="K162" s="6" t="n">
        <v>0</v>
      </c>
      <c r="L162" s="5" t="n">
        <v>38000</v>
      </c>
      <c r="M162" s="5" t="n">
        <v>44840</v>
      </c>
      <c r="N162" s="5">
        <f>ROUND(I162*J162*(1-K162),0)</f>
        <v/>
      </c>
    </row>
    <row r="163">
      <c r="A163" t="inlineStr">
        <is>
          <t>T05-250501-090469</t>
        </is>
      </c>
      <c r="B163" s="4" t="n">
        <v>45778</v>
      </c>
      <c r="C163" t="inlineStr">
        <is>
          <t>07:03</t>
        </is>
      </c>
      <c r="D163" t="inlineStr">
        <is>
          <t>Magasin 5 — Kaya Marché</t>
        </is>
      </c>
      <c r="E163" t="inlineStr">
        <is>
          <t>Boureima Ouédraogo</t>
        </is>
      </c>
      <c r="F163" t="n">
        <v>12559</v>
      </c>
      <c r="G163" t="inlineStr">
        <is>
          <t>Carreau de pavement 40x40 — réf 1</t>
        </is>
      </c>
      <c r="H163" t="inlineStr">
        <is>
          <t>Matériaux</t>
        </is>
      </c>
      <c r="I163" t="n">
        <v>4</v>
      </c>
      <c r="J163" s="5" t="n">
        <v>1075</v>
      </c>
      <c r="K163" s="6" t="n">
        <v>0</v>
      </c>
      <c r="L163" s="5" t="n">
        <v>4300</v>
      </c>
      <c r="M163" s="5" t="n">
        <v>5074</v>
      </c>
      <c r="N163" s="5">
        <f>ROUND(I163*J163*(1-K163),0)</f>
        <v/>
      </c>
    </row>
    <row r="164">
      <c r="A164" t="inlineStr">
        <is>
          <t>T05-250501-090469</t>
        </is>
      </c>
      <c r="B164" s="4" t="n">
        <v>45778</v>
      </c>
      <c r="C164" t="inlineStr">
        <is>
          <t>16:10</t>
        </is>
      </c>
      <c r="D164" t="inlineStr">
        <is>
          <t>Magasin 5 — Kaya Marché</t>
        </is>
      </c>
      <c r="E164" t="inlineStr">
        <is>
          <t>Boureima Ouédraogo</t>
        </is>
      </c>
      <c r="F164" t="n">
        <v>475</v>
      </c>
      <c r="G164" t="inlineStr">
        <is>
          <t>Tout-venant (m3) — réf 2</t>
        </is>
      </c>
      <c r="H164" t="inlineStr">
        <is>
          <t>Matériaux</t>
        </is>
      </c>
      <c r="I164" t="n">
        <v>1</v>
      </c>
      <c r="J164" s="5" t="n">
        <v>23600</v>
      </c>
      <c r="K164" s="6" t="n">
        <v>0.04</v>
      </c>
      <c r="L164" s="5" t="n">
        <v>22656</v>
      </c>
      <c r="M164" s="5" t="n">
        <v>26734</v>
      </c>
      <c r="N164" s="5">
        <f>ROUND(I164*J164*(1-K164),0)</f>
        <v/>
      </c>
    </row>
    <row r="165">
      <c r="A165" t="inlineStr">
        <is>
          <t>T05-250501-090469</t>
        </is>
      </c>
      <c r="B165" s="4" t="n">
        <v>45778</v>
      </c>
      <c r="C165" t="inlineStr">
        <is>
          <t>12:26</t>
        </is>
      </c>
      <c r="D165" t="inlineStr">
        <is>
          <t>Magasin 5 — Kaya Marché</t>
        </is>
      </c>
      <c r="E165" t="inlineStr">
        <is>
          <t>Salamatu Sankara</t>
        </is>
      </c>
      <c r="F165" t="n">
        <v>1690</v>
      </c>
      <c r="G165" t="inlineStr">
        <is>
          <t>Pelle carrée — réf 2</t>
        </is>
      </c>
      <c r="H165" t="inlineStr">
        <is>
          <t>Consommables</t>
        </is>
      </c>
      <c r="I165" t="n">
        <v>2</v>
      </c>
      <c r="J165" s="5" t="n">
        <v>5300</v>
      </c>
      <c r="K165" s="6" t="n">
        <v>0.08</v>
      </c>
      <c r="L165" s="5" t="n">
        <v>9752</v>
      </c>
      <c r="M165" s="5" t="n">
        <v>11507</v>
      </c>
      <c r="N165" s="5">
        <f>ROUND(I165*J165*(1-K165),0)</f>
        <v/>
      </c>
    </row>
    <row r="166">
      <c r="A166" t="inlineStr">
        <is>
          <t>T05-250501-090470</t>
        </is>
      </c>
      <c r="B166" s="4" t="n">
        <v>45778</v>
      </c>
      <c r="C166" t="inlineStr">
        <is>
          <t>18:44</t>
        </is>
      </c>
      <c r="D166" t="inlineStr">
        <is>
          <t>Magasin 5 — Kaya Marché</t>
        </is>
      </c>
      <c r="E166" t="inlineStr">
        <is>
          <t>Adama Bationo</t>
        </is>
      </c>
      <c r="F166" t="n">
        <v>9291</v>
      </c>
      <c r="G166" t="inlineStr">
        <is>
          <t>Tube PVC évacuation 100 mm (ml) — réf 1</t>
        </is>
      </c>
      <c r="H166" t="inlineStr">
        <is>
          <t>Plomberie</t>
        </is>
      </c>
      <c r="I166" t="n">
        <v>4</v>
      </c>
      <c r="J166" s="5" t="n">
        <v>3350</v>
      </c>
      <c r="K166" s="6" t="n">
        <v>0</v>
      </c>
      <c r="L166" s="5" t="n">
        <v>13400</v>
      </c>
      <c r="M166" s="5" t="n">
        <v>15812</v>
      </c>
      <c r="N166" s="5">
        <f>ROUND(I166*J166*(1-K166),0)</f>
        <v/>
      </c>
    </row>
    <row r="167">
      <c r="A167" t="inlineStr">
        <is>
          <t>T05-250501-090470</t>
        </is>
      </c>
      <c r="B167" s="4" t="n">
        <v>45778</v>
      </c>
      <c r="C167" t="inlineStr">
        <is>
          <t>16:25</t>
        </is>
      </c>
      <c r="D167" t="inlineStr">
        <is>
          <t>Magasin 5 — Kaya Marché</t>
        </is>
      </c>
      <c r="E167" t="inlineStr">
        <is>
          <t>Adama Bationo</t>
        </is>
      </c>
      <c r="F167" t="n">
        <v>15557</v>
      </c>
      <c r="G167" t="inlineStr">
        <is>
          <t>Écrou hexagonal 10 (sachet) — réf 2</t>
        </is>
      </c>
      <c r="H167" t="inlineStr">
        <is>
          <t>Quincaillerie</t>
        </is>
      </c>
      <c r="I167" t="n">
        <v>1</v>
      </c>
      <c r="J167" s="5" t="n">
        <v>2100</v>
      </c>
      <c r="K167" s="6" t="n">
        <v>0.04</v>
      </c>
      <c r="L167" s="5" t="n">
        <v>2016</v>
      </c>
      <c r="M167" s="5" t="n">
        <v>2379</v>
      </c>
      <c r="N167" s="5">
        <f>ROUND(I167*J167*(1-K167),0)</f>
        <v/>
      </c>
    </row>
    <row r="168">
      <c r="A168" t="inlineStr">
        <is>
          <t>T05-250501-090470</t>
        </is>
      </c>
      <c r="B168" s="4" t="n">
        <v>45778</v>
      </c>
      <c r="C168" t="inlineStr">
        <is>
          <t>11:03</t>
        </is>
      </c>
      <c r="D168" t="inlineStr">
        <is>
          <t>Magasin 5 — Kaya Marché</t>
        </is>
      </c>
      <c r="E168" t="inlineStr">
        <is>
          <t>Moussa Ilboudo</t>
        </is>
      </c>
      <c r="F168" t="n">
        <v>14630</v>
      </c>
      <c r="G168" t="inlineStr">
        <is>
          <t>Coude PVC 90° 100 — réf 1</t>
        </is>
      </c>
      <c r="H168" t="inlineStr">
        <is>
          <t>Plomberie</t>
        </is>
      </c>
      <c r="I168" t="n">
        <v>3</v>
      </c>
      <c r="J168" s="5" t="n">
        <v>4075</v>
      </c>
      <c r="K168" s="6" t="n">
        <v>0.04</v>
      </c>
      <c r="L168" s="5" t="n">
        <v>11736</v>
      </c>
      <c r="M168" s="5" t="n">
        <v>13848</v>
      </c>
      <c r="N168" s="5">
        <f>ROUND(I168*J168*(1-K168),0)</f>
        <v/>
      </c>
    </row>
    <row r="169">
      <c r="A169" t="inlineStr">
        <is>
          <t>T05-250501-090471</t>
        </is>
      </c>
      <c r="B169" s="4" t="n">
        <v>45778</v>
      </c>
      <c r="C169" t="inlineStr">
        <is>
          <t>07:15</t>
        </is>
      </c>
      <c r="D169" t="inlineStr">
        <is>
          <t>Magasin 5 — Kaya Marché</t>
        </is>
      </c>
      <c r="E169" t="inlineStr">
        <is>
          <t>Adama Bationo</t>
        </is>
      </c>
      <c r="F169" t="n">
        <v>0</v>
      </c>
      <c r="G169" t="inlineStr">
        <is>
          <t>Lavabo céramique — réf 2</t>
        </is>
      </c>
      <c r="H169" t="inlineStr">
        <is>
          <t>Plomberie</t>
        </is>
      </c>
      <c r="I169" t="n">
        <v>1</v>
      </c>
      <c r="J169" s="5" t="n">
        <v>40550</v>
      </c>
      <c r="K169" s="6" t="n">
        <v>0</v>
      </c>
      <c r="L169" s="5" t="n">
        <v>40550</v>
      </c>
      <c r="M169" s="5" t="n">
        <v>47849</v>
      </c>
      <c r="N169" s="5">
        <f>ROUND(I169*J169*(1-K169),0)</f>
        <v/>
      </c>
    </row>
    <row r="170">
      <c r="A170" t="inlineStr">
        <is>
          <t>T05-250501-090471</t>
        </is>
      </c>
      <c r="B170" s="4" t="n">
        <v>45778</v>
      </c>
      <c r="C170" t="inlineStr">
        <is>
          <t>13:52</t>
        </is>
      </c>
      <c r="D170" t="inlineStr">
        <is>
          <t>Magasin 5 — Kaya Marché</t>
        </is>
      </c>
      <c r="E170" t="inlineStr">
        <is>
          <t>Boureima Ouédraogo</t>
        </is>
      </c>
      <c r="F170" t="n">
        <v>17473</v>
      </c>
      <c r="G170" t="inlineStr">
        <is>
          <t>Douille E27 avec cordon — réf 1</t>
        </is>
      </c>
      <c r="H170" t="inlineStr">
        <is>
          <t>Electricité</t>
        </is>
      </c>
      <c r="I170" t="n">
        <v>2</v>
      </c>
      <c r="J170" s="5" t="n">
        <v>12400</v>
      </c>
      <c r="K170" s="6" t="n">
        <v>0</v>
      </c>
      <c r="L170" s="5" t="n">
        <v>24800</v>
      </c>
      <c r="M170" s="5" t="n">
        <v>29264</v>
      </c>
      <c r="N170" s="5">
        <f>ROUND(I170*J170*(1-K170),0)</f>
        <v/>
      </c>
    </row>
    <row r="171">
      <c r="A171" t="inlineStr">
        <is>
          <t>T05-250501-090471</t>
        </is>
      </c>
      <c r="B171" s="4" t="n">
        <v>45778</v>
      </c>
      <c r="C171" t="inlineStr">
        <is>
          <t>17:56</t>
        </is>
      </c>
      <c r="D171" t="inlineStr">
        <is>
          <t>Magasin 5 — Kaya Marché</t>
        </is>
      </c>
      <c r="E171" t="inlineStr">
        <is>
          <t>Adama Bationo</t>
        </is>
      </c>
      <c r="F171" t="n">
        <v>20136</v>
      </c>
      <c r="G171" t="inlineStr">
        <is>
          <t>Parpaing 15 aggloméré — réf 1</t>
        </is>
      </c>
      <c r="H171" t="inlineStr">
        <is>
          <t>Matériaux</t>
        </is>
      </c>
      <c r="I171" t="n">
        <v>4</v>
      </c>
      <c r="J171" s="5" t="n">
        <v>1475</v>
      </c>
      <c r="K171" s="6" t="n">
        <v>0.07000000000000001</v>
      </c>
      <c r="L171" s="5" t="n">
        <v>5487</v>
      </c>
      <c r="M171" s="5" t="n">
        <v>6475</v>
      </c>
      <c r="N171" s="5">
        <f>ROUND(I171*J171*(1-K171),0)</f>
        <v/>
      </c>
    </row>
    <row r="172">
      <c r="A172" t="inlineStr">
        <is>
          <t>T05-250501-090472</t>
        </is>
      </c>
      <c r="B172" s="4" t="n">
        <v>45778</v>
      </c>
      <c r="C172" t="inlineStr">
        <is>
          <t>15:40</t>
        </is>
      </c>
      <c r="D172" t="inlineStr">
        <is>
          <t>Magasin 5 — Kaya Marché</t>
        </is>
      </c>
      <c r="E172" t="inlineStr">
        <is>
          <t>Boureima Ouédraogo</t>
        </is>
      </c>
      <c r="F172" t="n">
        <v>14106</v>
      </c>
      <c r="G172" t="inlineStr">
        <is>
          <t>Pince coupante 200 mm — réf 2</t>
        </is>
      </c>
      <c r="H172" t="inlineStr">
        <is>
          <t>Quincaillerie</t>
        </is>
      </c>
      <c r="I172" t="n">
        <v>2</v>
      </c>
      <c r="J172" s="5" t="n">
        <v>10500</v>
      </c>
      <c r="K172" s="6" t="n">
        <v>0.04</v>
      </c>
      <c r="L172" s="5" t="n">
        <v>20160</v>
      </c>
      <c r="M172" s="5" t="n">
        <v>23789</v>
      </c>
      <c r="N172" s="5">
        <f>ROUND(I172*J172*(1-K172),0)</f>
        <v/>
      </c>
    </row>
    <row r="173">
      <c r="A173" t="inlineStr">
        <is>
          <t>T05-250501-090472</t>
        </is>
      </c>
      <c r="B173" s="4" t="n">
        <v>45778</v>
      </c>
      <c r="C173" t="inlineStr">
        <is>
          <t>09:38</t>
        </is>
      </c>
      <c r="D173" t="inlineStr">
        <is>
          <t>Magasin 5 — Kaya Marché</t>
        </is>
      </c>
      <c r="E173" t="inlineStr">
        <is>
          <t>Adama Bationo</t>
        </is>
      </c>
      <c r="F173" t="inlineStr"/>
      <c r="G173" t="inlineStr">
        <is>
          <t>Chasse d'eau 6 L — réf 1</t>
        </is>
      </c>
      <c r="H173" t="inlineStr">
        <is>
          <t>Plomberie</t>
        </is>
      </c>
      <c r="I173" t="n">
        <v>3</v>
      </c>
      <c r="J173" s="5" t="n">
        <v>26075</v>
      </c>
      <c r="K173" s="6" t="n">
        <v>0</v>
      </c>
      <c r="L173" s="5" t="n">
        <v>78225</v>
      </c>
      <c r="M173" s="5" t="n">
        <v>92305</v>
      </c>
      <c r="N173" s="5">
        <f>ROUND(I173*J173*(1-K173),0)</f>
        <v/>
      </c>
    </row>
    <row r="174">
      <c r="A174" t="inlineStr">
        <is>
          <t>T05-250501-090472</t>
        </is>
      </c>
      <c r="B174" s="4" t="n">
        <v>45778</v>
      </c>
      <c r="C174" t="inlineStr">
        <is>
          <t>15:17</t>
        </is>
      </c>
      <c r="D174" t="inlineStr">
        <is>
          <t>Magasin 5 — Kaya Marché</t>
        </is>
      </c>
      <c r="E174" t="inlineStr">
        <is>
          <t>Adama Bationo</t>
        </is>
      </c>
      <c r="F174" t="n">
        <v>10827</v>
      </c>
      <c r="G174" t="inlineStr">
        <is>
          <t>Enduit de rebouchage 5 kg — réf 1</t>
        </is>
      </c>
      <c r="H174" t="inlineStr">
        <is>
          <t>Peinture</t>
        </is>
      </c>
      <c r="I174" t="n">
        <v>9</v>
      </c>
      <c r="J174" s="5" t="n">
        <v>4250</v>
      </c>
      <c r="K174" s="6" t="n">
        <v>0</v>
      </c>
      <c r="L174" s="5" t="n">
        <v>38250</v>
      </c>
      <c r="M174" s="5" t="n">
        <v>45135</v>
      </c>
      <c r="N174" s="5">
        <f>ROUND(I174*J174*(1-K174),0)</f>
        <v/>
      </c>
    </row>
    <row r="175">
      <c r="A175" t="inlineStr">
        <is>
          <t>T05-250501-090473</t>
        </is>
      </c>
      <c r="B175" s="4" t="n">
        <v>45778</v>
      </c>
      <c r="C175" t="inlineStr">
        <is>
          <t>10:08</t>
        </is>
      </c>
      <c r="D175" t="inlineStr">
        <is>
          <t>Magasin 5 — Kaya Marché</t>
        </is>
      </c>
      <c r="E175" t="inlineStr">
        <is>
          <t>Boureima Ouédraogo</t>
        </is>
      </c>
      <c r="F175" t="n">
        <v>14652</v>
      </c>
      <c r="G175" t="inlineStr">
        <is>
          <t>Mètre ruban 5 m — réf 2</t>
        </is>
      </c>
      <c r="H175" t="inlineStr">
        <is>
          <t>Quincaillerie</t>
        </is>
      </c>
      <c r="I175" t="n">
        <v>2</v>
      </c>
      <c r="J175" s="5" t="n">
        <v>6550</v>
      </c>
      <c r="K175" s="6" t="n">
        <v>0</v>
      </c>
      <c r="L175" s="5" t="n">
        <v>13100</v>
      </c>
      <c r="M175" s="5" t="n">
        <v>15458</v>
      </c>
      <c r="N175" s="5">
        <f>ROUND(I175*J175*(1-K175),0)</f>
        <v/>
      </c>
    </row>
    <row r="176">
      <c r="A176" t="inlineStr">
        <is>
          <t>T05-250501-090473</t>
        </is>
      </c>
      <c r="B176" s="4" t="n">
        <v>45778</v>
      </c>
      <c r="C176" t="inlineStr">
        <is>
          <t>18:36</t>
        </is>
      </c>
      <c r="D176" t="inlineStr">
        <is>
          <t>Magasin 5 — Kaya Marché</t>
        </is>
      </c>
      <c r="E176" t="inlineStr">
        <is>
          <t>Moussa Ilboudo</t>
        </is>
      </c>
      <c r="F176" t="n">
        <v>6600</v>
      </c>
      <c r="G176" t="inlineStr">
        <is>
          <t>Brique de terre cuite — réf 2</t>
        </is>
      </c>
      <c r="H176" t="inlineStr">
        <is>
          <t>Matériaux</t>
        </is>
      </c>
      <c r="I176" t="n">
        <v>1</v>
      </c>
      <c r="J176" s="5" t="n">
        <v>725</v>
      </c>
      <c r="K176" s="6" t="n">
        <v>0.04</v>
      </c>
      <c r="L176" s="5" t="n">
        <v>696</v>
      </c>
      <c r="M176" s="5" t="n">
        <v>821</v>
      </c>
      <c r="N176" s="5">
        <f>ROUND(I176*J176*(1-K176),0)</f>
        <v/>
      </c>
    </row>
    <row r="177">
      <c r="A177" t="inlineStr">
        <is>
          <t>T05-250501-090473</t>
        </is>
      </c>
      <c r="B177" s="4" t="n">
        <v>45778</v>
      </c>
      <c r="C177" t="inlineStr">
        <is>
          <t>15:12</t>
        </is>
      </c>
      <c r="D177" t="inlineStr">
        <is>
          <t>Magasin 5 — Kaya Marché</t>
        </is>
      </c>
      <c r="E177" t="inlineStr">
        <is>
          <t>Moussa Ilboudo</t>
        </is>
      </c>
      <c r="F177" t="n">
        <v>7932</v>
      </c>
      <c r="G177" t="inlineStr">
        <is>
          <t>Câble 3x2,5 (rouleau 100 m) — réf 2</t>
        </is>
      </c>
      <c r="H177" t="inlineStr">
        <is>
          <t>Electricité</t>
        </is>
      </c>
      <c r="I177" t="n">
        <v>6</v>
      </c>
      <c r="J177" s="5" t="n">
        <v>17100</v>
      </c>
      <c r="K177" s="6" t="n">
        <v>0.08</v>
      </c>
      <c r="L177" s="5" t="n">
        <v>94392</v>
      </c>
      <c r="M177" s="5" t="n">
        <v>111383</v>
      </c>
      <c r="N177" s="5">
        <f>ROUND(I177*J177*(1-K177),0)</f>
        <v/>
      </c>
    </row>
    <row r="178">
      <c r="A178" t="inlineStr">
        <is>
          <t>T05-250501-090474</t>
        </is>
      </c>
      <c r="B178" s="4" t="n">
        <v>45778</v>
      </c>
      <c r="C178" t="inlineStr">
        <is>
          <t>18:57</t>
        </is>
      </c>
      <c r="D178" t="inlineStr">
        <is>
          <t>Magasin 5 — Kaya Marché</t>
        </is>
      </c>
      <c r="E178" t="inlineStr">
        <is>
          <t>Moussa Ilboudo</t>
        </is>
      </c>
      <c r="F178" t="n">
        <v>0</v>
      </c>
      <c r="G178" t="inlineStr">
        <is>
          <t>Carreau de pavement 40x40 — réf 2</t>
        </is>
      </c>
      <c r="H178" t="inlineStr">
        <is>
          <t>Matériaux</t>
        </is>
      </c>
      <c r="I178" t="n">
        <v>13</v>
      </c>
      <c r="J178" s="5" t="n">
        <v>1075</v>
      </c>
      <c r="K178" s="6" t="n">
        <v>0</v>
      </c>
      <c r="L178" s="5" t="n">
        <v>13975</v>
      </c>
      <c r="M178" s="5" t="n">
        <v>16491</v>
      </c>
      <c r="N178" s="5">
        <f>ROUND(I178*J178*(1-K178),0)</f>
        <v/>
      </c>
    </row>
    <row r="179">
      <c r="A179" t="inlineStr">
        <is>
          <t>T05-250501-090474</t>
        </is>
      </c>
      <c r="B179" s="4" t="n">
        <v>45778</v>
      </c>
      <c r="C179" t="inlineStr">
        <is>
          <t>08:16</t>
        </is>
      </c>
      <c r="D179" t="inlineStr">
        <is>
          <t>Magasin 5 — Kaya Marché</t>
        </is>
      </c>
      <c r="E179" t="inlineStr">
        <is>
          <t>Adama Bationo</t>
        </is>
      </c>
      <c r="F179" t="n">
        <v>9093</v>
      </c>
      <c r="G179" t="inlineStr">
        <is>
          <t>Plâtre de construction 25 kg — réf 1</t>
        </is>
      </c>
      <c r="H179" t="inlineStr">
        <is>
          <t>Matériaux</t>
        </is>
      </c>
      <c r="I179" t="n">
        <v>6</v>
      </c>
      <c r="J179" s="5" t="n">
        <v>4375</v>
      </c>
      <c r="K179" s="6" t="n">
        <v>0</v>
      </c>
      <c r="L179" s="5" t="n">
        <v>26250</v>
      </c>
      <c r="M179" s="5" t="n">
        <v>30975</v>
      </c>
      <c r="N179" s="5">
        <f>ROUND(I179*J179*(1-K179),0)</f>
        <v/>
      </c>
    </row>
    <row r="180">
      <c r="A180" t="inlineStr">
        <is>
          <t>T05-250501-090474</t>
        </is>
      </c>
      <c r="B180" s="4" t="n">
        <v>45778</v>
      </c>
      <c r="C180" t="inlineStr">
        <is>
          <t>16:53</t>
        </is>
      </c>
      <c r="D180" t="inlineStr">
        <is>
          <t>Magasin 5 — Kaya Marché</t>
        </is>
      </c>
      <c r="E180" t="inlineStr">
        <is>
          <t>Salamatu Sankara</t>
        </is>
      </c>
      <c r="F180" t="n">
        <v>16868</v>
      </c>
      <c r="G180" t="inlineStr">
        <is>
          <t>Brouette 90 L — réf 1</t>
        </is>
      </c>
      <c r="H180" t="inlineStr">
        <is>
          <t>Consommables</t>
        </is>
      </c>
      <c r="I180" t="n">
        <v>2</v>
      </c>
      <c r="J180" s="5" t="n">
        <v>5275</v>
      </c>
      <c r="K180" s="6" t="n">
        <v>0.08</v>
      </c>
      <c r="L180" s="5" t="n">
        <v>9706</v>
      </c>
      <c r="M180" s="5" t="n">
        <v>11453</v>
      </c>
      <c r="N180" s="5">
        <f>ROUND(I180*J180*(1-K180),0)</f>
        <v/>
      </c>
    </row>
    <row r="181">
      <c r="A181" t="inlineStr">
        <is>
          <t>T05-250502-090566</t>
        </is>
      </c>
      <c r="B181" s="4" t="n">
        <v>45779</v>
      </c>
      <c r="C181" t="inlineStr">
        <is>
          <t>13:47</t>
        </is>
      </c>
      <c r="D181" t="inlineStr">
        <is>
          <t>Magasin 5 — Kaya Marché</t>
        </is>
      </c>
      <c r="E181" t="inlineStr">
        <is>
          <t>Boureima Ouédraogo</t>
        </is>
      </c>
      <c r="F181" t="n">
        <v>23455</v>
      </c>
      <c r="G181" t="inlineStr">
        <is>
          <t>Hourdis creux 12 — réf 1</t>
        </is>
      </c>
      <c r="H181" t="inlineStr">
        <is>
          <t>Matériaux</t>
        </is>
      </c>
      <c r="I181" t="n">
        <v>9</v>
      </c>
      <c r="J181" s="5" t="n">
        <v>1025</v>
      </c>
      <c r="K181" s="6" t="n">
        <v>0</v>
      </c>
      <c r="L181" s="5" t="n">
        <v>9225</v>
      </c>
      <c r="M181" s="5" t="n">
        <v>10885</v>
      </c>
      <c r="N181" s="5">
        <f>ROUND(I181*J181*(1-K181),0)</f>
        <v/>
      </c>
    </row>
    <row r="182">
      <c r="A182" t="inlineStr">
        <is>
          <t>T05-250502-090566</t>
        </is>
      </c>
      <c r="B182" s="4" t="n">
        <v>45779</v>
      </c>
      <c r="C182" t="inlineStr">
        <is>
          <t>09:27</t>
        </is>
      </c>
      <c r="D182" t="inlineStr">
        <is>
          <t>Magasin 5 — Kaya Marché</t>
        </is>
      </c>
      <c r="E182" t="inlineStr">
        <is>
          <t>Salamatu Sankara</t>
        </is>
      </c>
      <c r="F182" t="n">
        <v>11891</v>
      </c>
      <c r="G182" t="inlineStr">
        <is>
          <t>Écrou hexagonal 10 (sachet) — réf 2</t>
        </is>
      </c>
      <c r="H182" t="inlineStr">
        <is>
          <t>Quincaillerie</t>
        </is>
      </c>
      <c r="I182" t="n">
        <v>16</v>
      </c>
      <c r="J182" s="5" t="n">
        <v>2150</v>
      </c>
      <c r="K182" s="6" t="n">
        <v>0</v>
      </c>
      <c r="L182" s="5" t="n">
        <v>34400</v>
      </c>
      <c r="M182" s="5" t="n">
        <v>40592</v>
      </c>
      <c r="N182" s="5">
        <f>ROUND(I182*J182*(1-K182),0)</f>
        <v/>
      </c>
    </row>
    <row r="183">
      <c r="A183" t="inlineStr">
        <is>
          <t>T05-250502-090566</t>
        </is>
      </c>
      <c r="B183" s="4" t="n">
        <v>45779</v>
      </c>
      <c r="C183" t="inlineStr">
        <is>
          <t>08:44</t>
        </is>
      </c>
      <c r="D183" t="inlineStr">
        <is>
          <t>Magasin 5 — Kaya Marché</t>
        </is>
      </c>
      <c r="E183" t="inlineStr">
        <is>
          <t>Moussa Ilboudo</t>
        </is>
      </c>
      <c r="F183" t="n">
        <v>12948</v>
      </c>
      <c r="G183" t="inlineStr">
        <is>
          <t>Vis à bois 4x40 (boîte) — réf 1</t>
        </is>
      </c>
      <c r="H183" t="inlineStr">
        <is>
          <t>Quincaillerie</t>
        </is>
      </c>
      <c r="I183" t="n">
        <v>1</v>
      </c>
      <c r="J183" s="5" t="n">
        <v>1750</v>
      </c>
      <c r="K183" s="6" t="n">
        <v>0</v>
      </c>
      <c r="L183" s="5" t="n">
        <v>1750</v>
      </c>
      <c r="M183" s="5" t="n">
        <v>2065</v>
      </c>
      <c r="N183" s="5">
        <f>ROUND(I183*J183*(1-K183),0)</f>
        <v/>
      </c>
    </row>
    <row r="184">
      <c r="A184" t="inlineStr">
        <is>
          <t>T05-250502-090566</t>
        </is>
      </c>
      <c r="B184" s="4" t="n">
        <v>45779</v>
      </c>
      <c r="C184" t="inlineStr">
        <is>
          <t>17:12</t>
        </is>
      </c>
      <c r="D184" t="inlineStr">
        <is>
          <t>Magasin 5 — Kaya Marché</t>
        </is>
      </c>
      <c r="E184" t="inlineStr">
        <is>
          <t>Adama Bationo</t>
        </is>
      </c>
      <c r="F184" t="n">
        <v>10895</v>
      </c>
      <c r="G184" t="inlineStr">
        <is>
          <t>Enduit de lissage 20 kg — réf 2</t>
        </is>
      </c>
      <c r="H184" t="inlineStr">
        <is>
          <t>Matériaux</t>
        </is>
      </c>
      <c r="I184" t="n">
        <v>5</v>
      </c>
      <c r="J184" s="5" t="n">
        <v>6500</v>
      </c>
      <c r="K184" s="6" t="n">
        <v>0</v>
      </c>
      <c r="L184" s="5" t="n">
        <v>32500</v>
      </c>
      <c r="M184" s="5" t="n">
        <v>38350</v>
      </c>
      <c r="N184" s="5">
        <f>ROUND(I184*J184*(1-K184),0)</f>
        <v/>
      </c>
    </row>
    <row r="185">
      <c r="A185" t="inlineStr">
        <is>
          <t>T05-250502-090567</t>
        </is>
      </c>
      <c r="B185" s="4" t="n">
        <v>45779</v>
      </c>
      <c r="C185" t="inlineStr">
        <is>
          <t>09:03</t>
        </is>
      </c>
      <c r="D185" t="inlineStr">
        <is>
          <t>Magasin 5 — Kaya Marché</t>
        </is>
      </c>
      <c r="E185" t="inlineStr">
        <is>
          <t>Salamatu Sankara</t>
        </is>
      </c>
      <c r="F185" t="n">
        <v>7489</v>
      </c>
      <c r="G185" t="inlineStr">
        <is>
          <t>Ciment CPJ35 50 kg — réf 1</t>
        </is>
      </c>
      <c r="H185" t="inlineStr">
        <is>
          <t>Matériaux</t>
        </is>
      </c>
      <c r="I185" t="n">
        <v>2</v>
      </c>
      <c r="J185" s="5" t="n">
        <v>6300</v>
      </c>
      <c r="K185" s="6" t="n">
        <v>0</v>
      </c>
      <c r="L185" s="5" t="n">
        <v>12600</v>
      </c>
      <c r="M185" s="5" t="n">
        <v>14868</v>
      </c>
      <c r="N185" s="5">
        <f>ROUND(I185*J185*(1-K185),0)</f>
        <v/>
      </c>
    </row>
    <row r="186">
      <c r="A186" t="inlineStr">
        <is>
          <t>T05-250502-090567</t>
        </is>
      </c>
      <c r="B186" s="4" t="n">
        <v>45779</v>
      </c>
      <c r="C186" t="inlineStr">
        <is>
          <t>13:41</t>
        </is>
      </c>
      <c r="D186" t="inlineStr">
        <is>
          <t>Magasin 5 — Kaya Marché</t>
        </is>
      </c>
      <c r="E186" t="inlineStr">
        <is>
          <t>Salamatu Sankara</t>
        </is>
      </c>
      <c r="F186" t="n">
        <v>0</v>
      </c>
      <c r="G186" t="inlineStr">
        <is>
          <t>Hourdis creux 12 — réf 2</t>
        </is>
      </c>
      <c r="H186" t="inlineStr">
        <is>
          <t>Matériaux</t>
        </is>
      </c>
      <c r="I186" t="n">
        <v>4</v>
      </c>
      <c r="J186" s="5" t="n">
        <v>1600</v>
      </c>
      <c r="K186" s="6" t="n">
        <v>0</v>
      </c>
      <c r="L186" s="5" t="n">
        <v>6400</v>
      </c>
      <c r="M186" s="5" t="n">
        <v>7552</v>
      </c>
      <c r="N186" s="5">
        <f>ROUND(I186*J186*(1-K186),0)</f>
        <v/>
      </c>
    </row>
    <row r="187">
      <c r="A187" t="inlineStr">
        <is>
          <t>T05-250502-090567</t>
        </is>
      </c>
      <c r="B187" s="4" t="n">
        <v>45779</v>
      </c>
      <c r="C187" t="inlineStr">
        <is>
          <t>15:09</t>
        </is>
      </c>
      <c r="D187" t="inlineStr">
        <is>
          <t>Magasin 5 — Kaya Marché</t>
        </is>
      </c>
      <c r="E187" t="inlineStr">
        <is>
          <t>Salamatu Sankara</t>
        </is>
      </c>
      <c r="F187" t="n">
        <v>10278</v>
      </c>
      <c r="G187" t="inlineStr">
        <is>
          <t>Vis à bois 4x40 (boîte) — réf 1</t>
        </is>
      </c>
      <c r="H187" t="inlineStr">
        <is>
          <t>Quincaillerie</t>
        </is>
      </c>
      <c r="I187" t="n">
        <v>3</v>
      </c>
      <c r="J187" s="5" t="n">
        <v>1775</v>
      </c>
      <c r="K187" s="6" t="n">
        <v>0.03</v>
      </c>
      <c r="L187" s="5" t="n">
        <v>5165</v>
      </c>
      <c r="M187" s="5" t="n">
        <v>6095</v>
      </c>
      <c r="N187" s="5">
        <f>ROUND(I187*J187*(1-K187),0)</f>
        <v/>
      </c>
    </row>
    <row r="188">
      <c r="A188" t="inlineStr">
        <is>
          <t>T05-250502-090568</t>
        </is>
      </c>
      <c r="B188" s="4" t="n">
        <v>45779</v>
      </c>
      <c r="C188" t="inlineStr">
        <is>
          <t>10:16</t>
        </is>
      </c>
      <c r="D188" t="inlineStr">
        <is>
          <t>Magasin 5 — Kaya Marché</t>
        </is>
      </c>
      <c r="E188" t="inlineStr">
        <is>
          <t>Adama Bationo</t>
        </is>
      </c>
      <c r="F188" t="n">
        <v>9985</v>
      </c>
      <c r="G188" t="inlineStr">
        <is>
          <t>Lampe solaire murale — réf 1</t>
        </is>
      </c>
      <c r="H188" t="inlineStr">
        <is>
          <t>Electricité</t>
        </is>
      </c>
      <c r="I188" t="n">
        <v>4</v>
      </c>
      <c r="J188" s="5" t="n">
        <v>10450</v>
      </c>
      <c r="K188" s="6" t="n">
        <v>0</v>
      </c>
      <c r="L188" s="5" t="n">
        <v>41800</v>
      </c>
      <c r="M188" s="5" t="n">
        <v>49324</v>
      </c>
      <c r="N188" s="5">
        <f>ROUND(I188*J188*(1-K188),0)</f>
        <v/>
      </c>
    </row>
    <row r="189">
      <c r="A189" t="inlineStr">
        <is>
          <t>T05-250502-090568</t>
        </is>
      </c>
      <c r="B189" s="4" t="n">
        <v>45779</v>
      </c>
      <c r="C189" t="inlineStr">
        <is>
          <t>15:50</t>
        </is>
      </c>
      <c r="D189" t="inlineStr">
        <is>
          <t>Magasin 5 — Kaya Marché</t>
        </is>
      </c>
      <c r="E189" t="inlineStr">
        <is>
          <t>Boureima Ouédraogo</t>
        </is>
      </c>
      <c r="F189" t="n">
        <v>22573</v>
      </c>
      <c r="G189" t="inlineStr">
        <is>
          <t>Peinture acrylique blanc 10 L — réf 2</t>
        </is>
      </c>
      <c r="H189" t="inlineStr">
        <is>
          <t>Peinture</t>
        </is>
      </c>
      <c r="I189" t="n">
        <v>7</v>
      </c>
      <c r="J189" s="5" t="n">
        <v>6875</v>
      </c>
      <c r="K189" s="6" t="n">
        <v>0</v>
      </c>
      <c r="L189" s="5" t="n">
        <v>48125</v>
      </c>
      <c r="M189" s="5" t="n">
        <v>56787</v>
      </c>
      <c r="N189" s="5">
        <f>ROUND(I189*J189*(1-K189),0)</f>
        <v/>
      </c>
    </row>
    <row r="190">
      <c r="A190" t="inlineStr">
        <is>
          <t>T05-250502-090568</t>
        </is>
      </c>
      <c r="B190" s="4" t="n">
        <v>45779</v>
      </c>
      <c r="C190" t="inlineStr">
        <is>
          <t>10:14</t>
        </is>
      </c>
      <c r="D190" t="inlineStr">
        <is>
          <t>Magasin 5 — Kaya Marché</t>
        </is>
      </c>
      <c r="E190" t="inlineStr">
        <is>
          <t>Salamatu Sankara</t>
        </is>
      </c>
      <c r="F190" t="n">
        <v>15664</v>
      </c>
      <c r="G190" t="inlineStr">
        <is>
          <t>Plaque de plâtre 13 mm — réf 2</t>
        </is>
      </c>
      <c r="H190" t="inlineStr">
        <is>
          <t>Bois &amp; panneaux</t>
        </is>
      </c>
      <c r="I190" t="n">
        <v>4</v>
      </c>
      <c r="J190" s="5" t="n">
        <v>13675</v>
      </c>
      <c r="K190" s="6" t="n">
        <v>0.04</v>
      </c>
      <c r="L190" s="5" t="n">
        <v>52512</v>
      </c>
      <c r="M190" s="5" t="n">
        <v>61964</v>
      </c>
      <c r="N190" s="5">
        <f>ROUND(I190*J190*(1-K190),0)</f>
        <v/>
      </c>
    </row>
    <row r="191">
      <c r="A191" t="inlineStr">
        <is>
          <t>T05-250502-090569</t>
        </is>
      </c>
      <c r="B191" s="4" t="n">
        <v>45779</v>
      </c>
      <c r="C191" t="inlineStr">
        <is>
          <t>07:01</t>
        </is>
      </c>
      <c r="D191" t="inlineStr">
        <is>
          <t>Magasin 5 — Kaya Marché</t>
        </is>
      </c>
      <c r="E191" t="inlineStr">
        <is>
          <t>Adama Bationo</t>
        </is>
      </c>
      <c r="F191" t="n">
        <v>14949</v>
      </c>
      <c r="G191" t="inlineStr">
        <is>
          <t>Plâtre de construction 25 kg — réf 2</t>
        </is>
      </c>
      <c r="H191" t="inlineStr">
        <is>
          <t>Matériaux</t>
        </is>
      </c>
      <c r="I191" t="n">
        <v>2</v>
      </c>
      <c r="J191" s="5" t="n">
        <v>6100</v>
      </c>
      <c r="K191" s="6" t="n">
        <v>0.11</v>
      </c>
      <c r="L191" s="5" t="n">
        <v>10858</v>
      </c>
      <c r="M191" s="5" t="n">
        <v>12812</v>
      </c>
      <c r="N191" s="5">
        <f>ROUND(I191*J191*(1-K191),0)</f>
        <v/>
      </c>
    </row>
    <row r="192">
      <c r="A192" t="inlineStr">
        <is>
          <t>T05-250502-090569</t>
        </is>
      </c>
      <c r="B192" s="4" t="n">
        <v>45779</v>
      </c>
      <c r="C192" t="inlineStr">
        <is>
          <t>13:41</t>
        </is>
      </c>
      <c r="D192" t="inlineStr">
        <is>
          <t>Magasin 5 — Kaya Marché</t>
        </is>
      </c>
      <c r="E192" t="inlineStr">
        <is>
          <t>Boureima Ouédraogo</t>
        </is>
      </c>
      <c r="F192" t="n">
        <v>11018</v>
      </c>
      <c r="G192" t="inlineStr">
        <is>
          <t>Carreau de pavement 40x40 — réf 1</t>
        </is>
      </c>
      <c r="H192" t="inlineStr">
        <is>
          <t>Matériaux</t>
        </is>
      </c>
      <c r="I192" t="n">
        <v>3</v>
      </c>
      <c r="J192" s="5" t="n">
        <v>1025</v>
      </c>
      <c r="K192" s="6" t="n">
        <v>0</v>
      </c>
      <c r="L192" s="5" t="n">
        <v>3075</v>
      </c>
      <c r="M192" s="5" t="n">
        <v>3629</v>
      </c>
      <c r="N192" s="5">
        <f>ROUND(I192*J192*(1-K192),0)</f>
        <v/>
      </c>
    </row>
    <row r="193">
      <c r="A193" t="inlineStr">
        <is>
          <t>T05-250502-090569</t>
        </is>
      </c>
      <c r="B193" s="4" t="n">
        <v>45779</v>
      </c>
      <c r="C193" t="inlineStr">
        <is>
          <t>18:49</t>
        </is>
      </c>
      <c r="D193" t="inlineStr">
        <is>
          <t>Magasin 5 — Kaya Marché</t>
        </is>
      </c>
      <c r="E193" t="inlineStr">
        <is>
          <t>Salamatu Sankara</t>
        </is>
      </c>
      <c r="F193" t="n">
        <v>7139</v>
      </c>
      <c r="G193" t="inlineStr">
        <is>
          <t>Coude PVC 90° 100 — réf 1</t>
        </is>
      </c>
      <c r="H193" t="inlineStr">
        <is>
          <t>Plomberie</t>
        </is>
      </c>
      <c r="I193" t="n">
        <v>9</v>
      </c>
      <c r="J193" s="5" t="n">
        <v>3925</v>
      </c>
      <c r="K193" s="6" t="n">
        <v>0</v>
      </c>
      <c r="L193" s="5" t="n">
        <v>35325</v>
      </c>
      <c r="M193" s="5" t="n">
        <v>41683</v>
      </c>
      <c r="N193" s="5">
        <f>ROUND(I193*J193*(1-K193),0)</f>
        <v/>
      </c>
    </row>
    <row r="194">
      <c r="A194" t="inlineStr">
        <is>
          <t>T05-250503-090686</t>
        </is>
      </c>
      <c r="B194" s="4" t="n">
        <v>45780</v>
      </c>
      <c r="C194" t="inlineStr">
        <is>
          <t>17:22</t>
        </is>
      </c>
      <c r="D194" t="inlineStr">
        <is>
          <t>Magasin 5 — Kaya Marché</t>
        </is>
      </c>
      <c r="E194" t="inlineStr">
        <is>
          <t>Boureima Ouédraogo</t>
        </is>
      </c>
      <c r="F194" t="n">
        <v>2275</v>
      </c>
      <c r="G194" t="inlineStr">
        <is>
          <t>Clé plate 13 — réf 1</t>
        </is>
      </c>
      <c r="H194" t="inlineStr">
        <is>
          <t>Quincaillerie</t>
        </is>
      </c>
      <c r="I194" t="n">
        <v>7</v>
      </c>
      <c r="J194" s="5" t="n">
        <v>9775</v>
      </c>
      <c r="K194" s="6" t="n">
        <v>0</v>
      </c>
      <c r="L194" s="5" t="n">
        <v>68425</v>
      </c>
      <c r="M194" s="5" t="n">
        <v>80741</v>
      </c>
      <c r="N194" s="5">
        <f>ROUND(I194*J194*(1-K194),0)</f>
        <v/>
      </c>
    </row>
    <row r="195">
      <c r="A195" t="inlineStr">
        <is>
          <t>T05-250503-090686</t>
        </is>
      </c>
      <c r="B195" s="4" t="n">
        <v>45780</v>
      </c>
      <c r="C195" t="inlineStr">
        <is>
          <t>08:18</t>
        </is>
      </c>
      <c r="D195" t="inlineStr">
        <is>
          <t>Magasin 5 — Kaya Marché</t>
        </is>
      </c>
      <c r="E195" t="inlineStr">
        <is>
          <t>Boureima Ouédraogo</t>
        </is>
      </c>
      <c r="F195" t="n">
        <v>9557</v>
      </c>
      <c r="G195" t="inlineStr">
        <is>
          <t>Bêche à manche bois — réf 2</t>
        </is>
      </c>
      <c r="H195" t="inlineStr">
        <is>
          <t>Consommables</t>
        </is>
      </c>
      <c r="I195" t="n">
        <v>1</v>
      </c>
      <c r="J195" s="5" t="n">
        <v>5775</v>
      </c>
      <c r="K195" s="6" t="n">
        <v>0</v>
      </c>
      <c r="L195" s="5" t="n">
        <v>5775</v>
      </c>
      <c r="M195" s="5" t="n">
        <v>6815</v>
      </c>
      <c r="N195" s="5">
        <f>ROUND(I195*J195*(1-K195),0)</f>
        <v/>
      </c>
    </row>
    <row r="196">
      <c r="A196" t="inlineStr">
        <is>
          <t>T05-250503-090687</t>
        </is>
      </c>
      <c r="B196" s="4" t="n">
        <v>45780</v>
      </c>
      <c r="C196" t="inlineStr">
        <is>
          <t>08:19</t>
        </is>
      </c>
      <c r="D196" t="inlineStr">
        <is>
          <t>Magasin 5 — Kaya Marché</t>
        </is>
      </c>
      <c r="E196" t="inlineStr">
        <is>
          <t>Moussa Ilboudo</t>
        </is>
      </c>
      <c r="F196" t="n">
        <v>21383</v>
      </c>
      <c r="G196" t="inlineStr">
        <is>
          <t>Chaux aérienne 25 kg — réf 2</t>
        </is>
      </c>
      <c r="H196" t="inlineStr">
        <is>
          <t>Matériaux</t>
        </is>
      </c>
      <c r="I196" t="n">
        <v>3</v>
      </c>
      <c r="J196" s="5" t="n">
        <v>8125</v>
      </c>
      <c r="K196" s="6" t="n">
        <v>0</v>
      </c>
      <c r="L196" s="5" t="n">
        <v>24375</v>
      </c>
      <c r="M196" s="5" t="n">
        <v>28763</v>
      </c>
      <c r="N196" s="5">
        <f>ROUND(I196*J196*(1-K196),0)</f>
        <v/>
      </c>
    </row>
    <row r="197">
      <c r="A197" t="inlineStr">
        <is>
          <t>T05-250503-090687</t>
        </is>
      </c>
      <c r="B197" s="4" t="n">
        <v>45780</v>
      </c>
      <c r="C197" t="inlineStr">
        <is>
          <t>16:24</t>
        </is>
      </c>
      <c r="D197" t="inlineStr">
        <is>
          <t>Magasin 5 — Kaya Marché</t>
        </is>
      </c>
      <c r="E197" t="inlineStr">
        <is>
          <t>Adama Bationo</t>
        </is>
      </c>
      <c r="F197" t="n">
        <v>0</v>
      </c>
      <c r="G197" t="inlineStr">
        <is>
          <t>Meuleuse 125 mm — réf 1</t>
        </is>
      </c>
      <c r="H197" t="inlineStr">
        <is>
          <t>Quincaillerie</t>
        </is>
      </c>
      <c r="I197" t="n">
        <v>7</v>
      </c>
      <c r="J197" s="5" t="n">
        <v>7325</v>
      </c>
      <c r="K197" s="6" t="n">
        <v>0</v>
      </c>
      <c r="L197" s="5" t="n">
        <v>51275</v>
      </c>
      <c r="M197" s="5" t="n">
        <v>60505</v>
      </c>
      <c r="N197" s="5">
        <f>ROUND(I197*J197*(1-K197),0)</f>
        <v/>
      </c>
    </row>
    <row r="198">
      <c r="A198" t="inlineStr">
        <is>
          <t>T05-250503-090688</t>
        </is>
      </c>
      <c r="B198" s="4" t="n">
        <v>45780</v>
      </c>
      <c r="C198" t="inlineStr">
        <is>
          <t>12:32</t>
        </is>
      </c>
      <c r="D198" t="inlineStr">
        <is>
          <t>Magasin 5 — Kaya Marché</t>
        </is>
      </c>
      <c r="E198" t="inlineStr">
        <is>
          <t>Adama Bationo</t>
        </is>
      </c>
      <c r="F198" t="n">
        <v>10137</v>
      </c>
      <c r="G198" t="inlineStr">
        <is>
          <t>Enduit de rebouchage 5 kg — réf 2</t>
        </is>
      </c>
      <c r="H198" t="inlineStr">
        <is>
          <t>Peinture</t>
        </is>
      </c>
      <c r="I198" t="n">
        <v>17</v>
      </c>
      <c r="J198" s="5" t="n">
        <v>4925</v>
      </c>
      <c r="K198" s="6" t="n">
        <v>0</v>
      </c>
      <c r="L198" s="5" t="n">
        <v>83725</v>
      </c>
      <c r="M198" s="5" t="n">
        <v>98795</v>
      </c>
      <c r="N198" s="5">
        <f>ROUND(I198*J198*(1-K198),0)</f>
        <v/>
      </c>
    </row>
    <row r="199">
      <c r="A199" t="inlineStr">
        <is>
          <t>T05-250503-090688</t>
        </is>
      </c>
      <c r="B199" s="4" t="n">
        <v>45780</v>
      </c>
      <c r="C199" t="inlineStr">
        <is>
          <t>16:51</t>
        </is>
      </c>
      <c r="D199" t="inlineStr">
        <is>
          <t>Magasin 5 — Kaya Marché</t>
        </is>
      </c>
      <c r="E199" t="inlineStr">
        <is>
          <t>Moussa Ilboudo</t>
        </is>
      </c>
      <c r="F199" t="n">
        <v>15857</v>
      </c>
      <c r="G199" t="inlineStr">
        <is>
          <t>Enduit de lissage 20 kg — réf 1</t>
        </is>
      </c>
      <c r="H199" t="inlineStr">
        <is>
          <t>Matériaux</t>
        </is>
      </c>
      <c r="I199" t="n">
        <v>8</v>
      </c>
      <c r="J199" s="5" t="n">
        <v>7325</v>
      </c>
      <c r="K199" s="6" t="n">
        <v>0.04</v>
      </c>
      <c r="L199" s="5" t="n">
        <v>56256</v>
      </c>
      <c r="M199" s="5" t="n">
        <v>66382</v>
      </c>
      <c r="N199" s="5">
        <f>ROUND(I199*J199*(1-K199),0)</f>
        <v/>
      </c>
    </row>
    <row r="200">
      <c r="A200" t="inlineStr">
        <is>
          <t>T05-250503-090689</t>
        </is>
      </c>
      <c r="B200" s="4" t="n">
        <v>45780</v>
      </c>
      <c r="C200" t="inlineStr">
        <is>
          <t>13:54</t>
        </is>
      </c>
      <c r="D200" t="inlineStr">
        <is>
          <t>Magasin 5 — Kaya Marché</t>
        </is>
      </c>
      <c r="E200" t="inlineStr">
        <is>
          <t>Moussa Ilboudo</t>
        </is>
      </c>
      <c r="F200" t="n">
        <v>14974</v>
      </c>
      <c r="G200" t="inlineStr">
        <is>
          <t>Brique de terre cuite — réf 2</t>
        </is>
      </c>
      <c r="H200" t="inlineStr">
        <is>
          <t>Matériaux</t>
        </is>
      </c>
      <c r="I200" t="n">
        <v>4</v>
      </c>
      <c r="J200" s="5" t="n">
        <v>700</v>
      </c>
      <c r="K200" s="6" t="n">
        <v>0.11</v>
      </c>
      <c r="L200" s="5" t="n">
        <v>2492</v>
      </c>
      <c r="M200" s="5" t="n">
        <v>2941</v>
      </c>
      <c r="N200" s="5">
        <f>ROUND(I200*J200*(1-K200),0)</f>
        <v/>
      </c>
    </row>
    <row r="201">
      <c r="A201" t="inlineStr">
        <is>
          <t>T05-250503-090689</t>
        </is>
      </c>
      <c r="B201" s="4" t="n">
        <v>45780</v>
      </c>
      <c r="C201" t="inlineStr">
        <is>
          <t>18:02</t>
        </is>
      </c>
      <c r="D201" t="inlineStr">
        <is>
          <t>Magasin 5 — Kaya Marché</t>
        </is>
      </c>
      <c r="E201" t="inlineStr">
        <is>
          <t>Moussa Ilboudo</t>
        </is>
      </c>
      <c r="F201" t="n">
        <v>11760</v>
      </c>
      <c r="G201" t="inlineStr">
        <is>
          <t>Plaque de plâtre 13 mm — réf 2</t>
        </is>
      </c>
      <c r="H201" t="inlineStr">
        <is>
          <t>Bois &amp; panneaux</t>
        </is>
      </c>
      <c r="I201" t="n">
        <v>1</v>
      </c>
      <c r="J201" s="5" t="n">
        <v>13825</v>
      </c>
      <c r="K201" s="6" t="n">
        <v>0.04</v>
      </c>
      <c r="L201" s="5" t="n">
        <v>13272</v>
      </c>
      <c r="M201" s="5" t="n">
        <v>15661</v>
      </c>
      <c r="N201" s="5">
        <f>ROUND(I201*J201*(1-K201),0)</f>
        <v/>
      </c>
    </row>
    <row r="202">
      <c r="A202" t="inlineStr">
        <is>
          <t>T05-250601-093699</t>
        </is>
      </c>
      <c r="B202" s="4" t="n">
        <v>45809</v>
      </c>
      <c r="C202" t="inlineStr">
        <is>
          <t>09:27</t>
        </is>
      </c>
      <c r="D202" t="inlineStr">
        <is>
          <t>Magasin 5 — Kaya Marché</t>
        </is>
      </c>
      <c r="E202" t="inlineStr">
        <is>
          <t>Adama Bationo</t>
        </is>
      </c>
      <c r="F202" t="n">
        <v>19747</v>
      </c>
      <c r="G202" t="inlineStr">
        <is>
          <t>Tout-venant (m3) — réf 1</t>
        </is>
      </c>
      <c r="H202" t="inlineStr">
        <is>
          <t>Matériaux</t>
        </is>
      </c>
      <c r="I202" t="n">
        <v>4</v>
      </c>
      <c r="J202" s="5" t="n">
        <v>16375</v>
      </c>
      <c r="K202" s="6" t="n">
        <v>0.08</v>
      </c>
      <c r="L202" s="5" t="n">
        <v>60260</v>
      </c>
      <c r="M202" s="5" t="n">
        <v>71107</v>
      </c>
      <c r="N202" s="5">
        <f>ROUND(I202*J202*(1-K202),0)</f>
        <v/>
      </c>
    </row>
    <row r="203">
      <c r="A203" t="inlineStr">
        <is>
          <t>T05-250601-093700</t>
        </is>
      </c>
      <c r="B203" s="4" t="n">
        <v>45809</v>
      </c>
      <c r="C203" t="inlineStr">
        <is>
          <t>09:09</t>
        </is>
      </c>
      <c r="D203" t="inlineStr">
        <is>
          <t>Magasin 5 — Kaya Marché</t>
        </is>
      </c>
      <c r="E203" t="inlineStr">
        <is>
          <t>Boureima Ouédraogo</t>
        </is>
      </c>
      <c r="F203" t="n">
        <v>5122</v>
      </c>
      <c r="G203" t="inlineStr">
        <is>
          <t>Bêche à manche bois — réf 2</t>
        </is>
      </c>
      <c r="H203" t="inlineStr">
        <is>
          <t>Consommables</t>
        </is>
      </c>
      <c r="I203" t="n">
        <v>6</v>
      </c>
      <c r="J203" s="5" t="n">
        <v>5825</v>
      </c>
      <c r="K203" s="6" t="n">
        <v>0.04</v>
      </c>
      <c r="L203" s="5" t="n">
        <v>33552</v>
      </c>
      <c r="M203" s="5" t="n">
        <v>39591</v>
      </c>
      <c r="N203" s="5">
        <f>ROUND(I203*J203*(1-K203),0)</f>
        <v/>
      </c>
    </row>
    <row r="204">
      <c r="A204" t="inlineStr">
        <is>
          <t>T05-250601-093701</t>
        </is>
      </c>
      <c r="B204" s="4" t="n">
        <v>45809</v>
      </c>
      <c r="C204" t="inlineStr">
        <is>
          <t>07:51</t>
        </is>
      </c>
      <c r="D204" t="inlineStr">
        <is>
          <t>Magasin 5 — Kaya Marché</t>
        </is>
      </c>
      <c r="E204" t="inlineStr">
        <is>
          <t>Salamatu Sankara</t>
        </is>
      </c>
      <c r="F204" t="n">
        <v>12483</v>
      </c>
      <c r="G204" t="inlineStr">
        <is>
          <t>Tube PVC évacuation 100 mm (ml) — réf 1</t>
        </is>
      </c>
      <c r="H204" t="inlineStr">
        <is>
          <t>Plomberie</t>
        </is>
      </c>
      <c r="I204" t="n">
        <v>15</v>
      </c>
      <c r="J204" s="5" t="n">
        <v>3375</v>
      </c>
      <c r="K204" s="6" t="n">
        <v>0</v>
      </c>
      <c r="L204" s="5" t="n">
        <v>50625</v>
      </c>
      <c r="M204" s="5" t="n">
        <v>59737</v>
      </c>
      <c r="N204" s="5">
        <f>ROUND(I204*J204*(1-K204),0)</f>
        <v/>
      </c>
    </row>
    <row r="205">
      <c r="A205" t="inlineStr">
        <is>
          <t>T05-250601-093702</t>
        </is>
      </c>
      <c r="B205" s="4" t="n">
        <v>45809</v>
      </c>
      <c r="C205" t="inlineStr">
        <is>
          <t>09:09</t>
        </is>
      </c>
      <c r="D205" t="inlineStr">
        <is>
          <t>Magasin 5 — Kaya Marché</t>
        </is>
      </c>
      <c r="E205" t="inlineStr">
        <is>
          <t>Salamatu Sankara</t>
        </is>
      </c>
      <c r="F205" t="n">
        <v>22782</v>
      </c>
      <c r="G205" t="inlineStr">
        <is>
          <t>Panneau solaire 100 W — réf 1</t>
        </is>
      </c>
      <c r="H205" t="inlineStr">
        <is>
          <t>Electricité</t>
        </is>
      </c>
      <c r="I205" t="n">
        <v>2</v>
      </c>
      <c r="J205" s="5" t="n">
        <v>9425</v>
      </c>
      <c r="K205" s="6" t="n">
        <v>0.08</v>
      </c>
      <c r="L205" s="5" t="n">
        <v>17342</v>
      </c>
      <c r="M205" s="5" t="n">
        <v>20464</v>
      </c>
      <c r="N205" s="5">
        <f>ROUND(I205*J205*(1-K205),0)</f>
        <v/>
      </c>
    </row>
    <row r="206">
      <c r="A206" t="inlineStr">
        <is>
          <t>T05-250601-093703</t>
        </is>
      </c>
      <c r="B206" s="4" t="n">
        <v>45809</v>
      </c>
      <c r="C206" t="inlineStr">
        <is>
          <t>18:57</t>
        </is>
      </c>
      <c r="D206" t="inlineStr">
        <is>
          <t>Magasin 5 — Kaya Marché</t>
        </is>
      </c>
      <c r="E206" t="inlineStr">
        <is>
          <t>Moussa Ilboudo</t>
        </is>
      </c>
      <c r="F206" t="n">
        <v>13205</v>
      </c>
      <c r="G206" t="inlineStr">
        <is>
          <t>Échelle aluminium 4 marches — réf 2</t>
        </is>
      </c>
      <c r="H206" t="inlineStr">
        <is>
          <t>Consommables</t>
        </is>
      </c>
      <c r="I206" t="n">
        <v>6</v>
      </c>
      <c r="J206" s="5" t="n">
        <v>8550</v>
      </c>
      <c r="K206" s="6" t="n">
        <v>0</v>
      </c>
      <c r="L206" s="5" t="n">
        <v>51300</v>
      </c>
      <c r="M206" s="5" t="n">
        <v>60534</v>
      </c>
      <c r="N206" s="5">
        <f>ROUND(I206*J206*(1-K206),0)</f>
        <v/>
      </c>
    </row>
    <row r="207">
      <c r="A207" t="inlineStr">
        <is>
          <t>T05-250602-093766</t>
        </is>
      </c>
      <c r="B207" s="4" t="n">
        <v>45810</v>
      </c>
      <c r="C207" t="inlineStr">
        <is>
          <t>15:09</t>
        </is>
      </c>
      <c r="D207" t="inlineStr">
        <is>
          <t>Magasin 5 — Kaya Marché</t>
        </is>
      </c>
      <c r="E207" t="inlineStr">
        <is>
          <t>Boureima Ouédraogo</t>
        </is>
      </c>
      <c r="F207" t="n">
        <v>0</v>
      </c>
      <c r="G207" t="inlineStr">
        <is>
          <t>Tube PVC évacuation 100 mm (ml) — réf 1</t>
        </is>
      </c>
      <c r="H207" t="inlineStr">
        <is>
          <t>Plomberie</t>
        </is>
      </c>
      <c r="I207" t="n">
        <v>2</v>
      </c>
      <c r="J207" s="5" t="n">
        <v>3300</v>
      </c>
      <c r="K207" s="6" t="n">
        <v>0</v>
      </c>
      <c r="L207" s="5" t="n">
        <v>6600</v>
      </c>
      <c r="M207" s="5" t="n">
        <v>7788</v>
      </c>
      <c r="N207" s="5">
        <f>ROUND(I207*J207*(1-K207),0)</f>
        <v/>
      </c>
    </row>
    <row r="208">
      <c r="A208" t="inlineStr">
        <is>
          <t>T05-250602-093766</t>
        </is>
      </c>
      <c r="B208" s="4" t="n">
        <v>45810</v>
      </c>
      <c r="C208" t="inlineStr">
        <is>
          <t>09:23</t>
        </is>
      </c>
      <c r="D208" t="inlineStr">
        <is>
          <t>Magasin 5 — Kaya Marché</t>
        </is>
      </c>
      <c r="E208" t="inlineStr">
        <is>
          <t>Salamatu Sankara</t>
        </is>
      </c>
      <c r="F208" t="n">
        <v>0</v>
      </c>
      <c r="G208" t="inlineStr">
        <is>
          <t>Scie égoïne 500 mm — réf 2</t>
        </is>
      </c>
      <c r="H208" t="inlineStr">
        <is>
          <t>Quincaillerie</t>
        </is>
      </c>
      <c r="I208" t="n">
        <v>8</v>
      </c>
      <c r="J208" s="5" t="n">
        <v>9975</v>
      </c>
      <c r="K208" s="6" t="n">
        <v>0</v>
      </c>
      <c r="L208" s="5" t="n">
        <v>79800</v>
      </c>
      <c r="M208" s="5" t="n">
        <v>94164</v>
      </c>
      <c r="N208" s="5">
        <f>ROUND(I208*J208*(1-K208),0)</f>
        <v/>
      </c>
    </row>
    <row r="209">
      <c r="A209" t="inlineStr">
        <is>
          <t>T05-250602-093766</t>
        </is>
      </c>
      <c r="B209" s="4" t="n">
        <v>45810</v>
      </c>
      <c r="C209" t="inlineStr">
        <is>
          <t>07:59</t>
        </is>
      </c>
      <c r="D209" t="inlineStr">
        <is>
          <t>Magasin 5 — Kaya Marché</t>
        </is>
      </c>
      <c r="E209" t="inlineStr">
        <is>
          <t>Moussa Ilboudo</t>
        </is>
      </c>
      <c r="F209" t="n">
        <v>11411</v>
      </c>
      <c r="G209" t="inlineStr">
        <is>
          <t>Ciment CPJ45 50 kg — réf 2</t>
        </is>
      </c>
      <c r="H209" t="inlineStr">
        <is>
          <t>Matériaux</t>
        </is>
      </c>
      <c r="I209" t="n">
        <v>16</v>
      </c>
      <c r="J209" s="5" t="n">
        <v>6400</v>
      </c>
      <c r="K209" s="6" t="n">
        <v>0</v>
      </c>
      <c r="L209" s="5" t="n">
        <v>102400</v>
      </c>
      <c r="M209" s="5" t="n">
        <v>120832</v>
      </c>
      <c r="N209" s="5">
        <f>ROUND(I209*J209*(1-K209),0)</f>
        <v/>
      </c>
    </row>
    <row r="210">
      <c r="A210" t="inlineStr">
        <is>
          <t>T05-250602-093767</t>
        </is>
      </c>
      <c r="B210" s="4" t="n">
        <v>45810</v>
      </c>
      <c r="C210" t="inlineStr">
        <is>
          <t>17:01</t>
        </is>
      </c>
      <c r="D210" t="inlineStr">
        <is>
          <t>Magasin 5 — Kaya Marché</t>
        </is>
      </c>
      <c r="E210" t="inlineStr">
        <is>
          <t>Salamatu Sankara</t>
        </is>
      </c>
      <c r="F210" t="n">
        <v>6472</v>
      </c>
      <c r="G210" t="inlineStr">
        <is>
          <t>Té fonte 100 — réf 1</t>
        </is>
      </c>
      <c r="H210" t="inlineStr">
        <is>
          <t>Plomberie</t>
        </is>
      </c>
      <c r="I210" t="n">
        <v>4</v>
      </c>
      <c r="J210" s="5" t="n">
        <v>3175</v>
      </c>
      <c r="K210" s="6" t="n">
        <v>0.04</v>
      </c>
      <c r="L210" s="5" t="n">
        <v>12192</v>
      </c>
      <c r="M210" s="5" t="n">
        <v>14387</v>
      </c>
      <c r="N210" s="5">
        <f>ROUND(I210*J210*(1-K210),0)</f>
        <v/>
      </c>
    </row>
    <row r="211">
      <c r="A211" t="inlineStr">
        <is>
          <t>T05-250602-093767</t>
        </is>
      </c>
      <c r="B211" s="4" t="n">
        <v>45810</v>
      </c>
      <c r="C211" t="inlineStr">
        <is>
          <t>14:36</t>
        </is>
      </c>
      <c r="D211" t="inlineStr">
        <is>
          <t>Magasin 5 — Kaya Marché</t>
        </is>
      </c>
      <c r="E211" t="inlineStr">
        <is>
          <t>Boureima Ouédraogo</t>
        </is>
      </c>
      <c r="F211" t="n">
        <v>2778</v>
      </c>
      <c r="G211" t="inlineStr">
        <is>
          <t>Douille E27 avec cordon — réf 2</t>
        </is>
      </c>
      <c r="H211" t="inlineStr">
        <is>
          <t>Electricité</t>
        </is>
      </c>
      <c r="I211" t="n">
        <v>7</v>
      </c>
      <c r="J211" s="5" t="n">
        <v>18050</v>
      </c>
      <c r="K211" s="6" t="n">
        <v>0</v>
      </c>
      <c r="L211" s="5" t="n">
        <v>126350</v>
      </c>
      <c r="M211" s="5" t="n">
        <v>149093</v>
      </c>
      <c r="N211" s="5">
        <f>ROUND(I211*J211*(1-K211),0)</f>
        <v/>
      </c>
    </row>
    <row r="212">
      <c r="A212" t="inlineStr">
        <is>
          <t>T05-250602-093767</t>
        </is>
      </c>
      <c r="B212" s="4" t="n">
        <v>45810</v>
      </c>
      <c r="C212" t="inlineStr">
        <is>
          <t>14:47</t>
        </is>
      </c>
      <c r="D212" t="inlineStr">
        <is>
          <t>Magasin 5 — Kaya Marché</t>
        </is>
      </c>
      <c r="E212" t="inlineStr">
        <is>
          <t>Boureima Ouédraogo</t>
        </is>
      </c>
      <c r="F212" t="n">
        <v>1374</v>
      </c>
      <c r="G212" t="inlineStr">
        <is>
          <t>Chasse d'eau 6 L — réf 2</t>
        </is>
      </c>
      <c r="H212" t="inlineStr">
        <is>
          <t>Plomberie</t>
        </is>
      </c>
      <c r="I212" t="n">
        <v>2</v>
      </c>
      <c r="J212" s="5" t="n">
        <v>20425</v>
      </c>
      <c r="K212" s="6" t="n">
        <v>0</v>
      </c>
      <c r="L212" s="5" t="n">
        <v>40850</v>
      </c>
      <c r="M212" s="5" t="n">
        <v>48203</v>
      </c>
      <c r="N212" s="5">
        <f>ROUND(I212*J212*(1-K212),0)</f>
        <v/>
      </c>
    </row>
    <row r="213">
      <c r="A213" t="inlineStr">
        <is>
          <t>T05-250602-093768</t>
        </is>
      </c>
      <c r="B213" s="4" t="n">
        <v>45810</v>
      </c>
      <c r="C213" t="inlineStr">
        <is>
          <t>07:37</t>
        </is>
      </c>
      <c r="D213" t="inlineStr">
        <is>
          <t>Magasin 5 — Kaya Marché</t>
        </is>
      </c>
      <c r="E213" t="inlineStr">
        <is>
          <t>Moussa Ilboudo</t>
        </is>
      </c>
      <c r="F213" t="n">
        <v>17115</v>
      </c>
      <c r="G213" t="inlineStr">
        <is>
          <t>Fer à béton 8 mm (barre) — réf 2</t>
        </is>
      </c>
      <c r="H213" t="inlineStr">
        <is>
          <t>Quincaillerie</t>
        </is>
      </c>
      <c r="I213" t="n">
        <v>3</v>
      </c>
      <c r="J213" s="5" t="n">
        <v>2250</v>
      </c>
      <c r="K213" s="6" t="n">
        <v>0.04</v>
      </c>
      <c r="L213" s="5" t="n">
        <v>6480</v>
      </c>
      <c r="M213" s="5" t="n">
        <v>7646</v>
      </c>
      <c r="N213" s="5">
        <f>ROUND(I213*J213*(1-K213),0)</f>
        <v/>
      </c>
    </row>
    <row r="214">
      <c r="A214" t="inlineStr">
        <is>
          <t>T05-250602-093768</t>
        </is>
      </c>
      <c r="B214" s="4" t="n">
        <v>45810</v>
      </c>
      <c r="C214" t="inlineStr">
        <is>
          <t>15:07</t>
        </is>
      </c>
      <c r="D214" t="inlineStr">
        <is>
          <t>Magasin 5 — Kaya Marché</t>
        </is>
      </c>
      <c r="E214" t="inlineStr">
        <is>
          <t>Adama Bationo</t>
        </is>
      </c>
      <c r="F214" t="n">
        <v>21939</v>
      </c>
      <c r="G214" t="inlineStr">
        <is>
          <t>Hourdis creux 12 — réf 2</t>
        </is>
      </c>
      <c r="H214" t="inlineStr">
        <is>
          <t>Matériaux</t>
        </is>
      </c>
      <c r="I214" t="n">
        <v>7</v>
      </c>
      <c r="J214" s="5" t="n">
        <v>1500</v>
      </c>
      <c r="K214" s="6" t="n">
        <v>0</v>
      </c>
      <c r="L214" s="5" t="n">
        <v>10500</v>
      </c>
      <c r="M214" s="5" t="n">
        <v>12390</v>
      </c>
      <c r="N214" s="5">
        <f>ROUND(I214*J214*(1-K214),0)</f>
        <v/>
      </c>
    </row>
    <row r="215">
      <c r="A215" t="inlineStr">
        <is>
          <t>T05-250602-093768</t>
        </is>
      </c>
      <c r="B215" s="4" t="n">
        <v>45810</v>
      </c>
      <c r="C215" t="inlineStr">
        <is>
          <t>18:14</t>
        </is>
      </c>
      <c r="D215" t="inlineStr">
        <is>
          <t>Magasin 5 — Kaya Marché</t>
        </is>
      </c>
      <c r="E215" t="inlineStr">
        <is>
          <t>Adama Bationo</t>
        </is>
      </c>
      <c r="F215" t="n">
        <v>0</v>
      </c>
      <c r="G215" t="inlineStr">
        <is>
          <t>Ampoule LED 9 W — réf 2</t>
        </is>
      </c>
      <c r="H215" t="inlineStr">
        <is>
          <t>Electricité</t>
        </is>
      </c>
      <c r="I215" t="n">
        <v>2</v>
      </c>
      <c r="J215" s="5" t="n">
        <v>19050</v>
      </c>
      <c r="K215" s="6" t="n">
        <v>0</v>
      </c>
      <c r="L215" s="5" t="n">
        <v>38100</v>
      </c>
      <c r="M215" s="5" t="n">
        <v>44958</v>
      </c>
      <c r="N215" s="5">
        <f>ROUND(I215*J215*(1-K215),0)</f>
        <v/>
      </c>
    </row>
    <row r="216">
      <c r="A216" t="inlineStr">
        <is>
          <t>T05-250602-093769</t>
        </is>
      </c>
      <c r="B216" s="4" t="n">
        <v>45810</v>
      </c>
      <c r="C216" t="inlineStr">
        <is>
          <t>16:25</t>
        </is>
      </c>
      <c r="D216" t="inlineStr">
        <is>
          <t>Magasin 5 — Kaya Marché</t>
        </is>
      </c>
      <c r="E216" t="inlineStr">
        <is>
          <t>Adama Bationo</t>
        </is>
      </c>
      <c r="F216" t="n">
        <v>21805</v>
      </c>
      <c r="G216" t="inlineStr">
        <is>
          <t>Ciment CPJ45 50 kg — réf 2</t>
        </is>
      </c>
      <c r="H216" t="inlineStr">
        <is>
          <t>Matériaux</t>
        </is>
      </c>
      <c r="I216" t="n">
        <v>4</v>
      </c>
      <c r="J216" s="5" t="n">
        <v>6475</v>
      </c>
      <c r="K216" s="6" t="n">
        <v>0.08</v>
      </c>
      <c r="L216" s="5" t="n">
        <v>23828</v>
      </c>
      <c r="M216" s="5" t="n">
        <v>28117</v>
      </c>
      <c r="N216" s="5">
        <f>ROUND(I216*J216*(1-K216),0)</f>
        <v/>
      </c>
    </row>
    <row r="217">
      <c r="A217" t="inlineStr">
        <is>
          <t>T05-250602-093769</t>
        </is>
      </c>
      <c r="B217" s="4" t="n">
        <v>45810</v>
      </c>
      <c r="C217" t="inlineStr">
        <is>
          <t>12:40</t>
        </is>
      </c>
      <c r="D217" t="inlineStr">
        <is>
          <t>Magasin 5 — Kaya Marché</t>
        </is>
      </c>
      <c r="E217" t="inlineStr">
        <is>
          <t>Boureima Ouédraogo</t>
        </is>
      </c>
      <c r="F217" t="n">
        <v>0</v>
      </c>
      <c r="G217" t="inlineStr">
        <is>
          <t>Ciment CPJ35 50 kg — réf 2</t>
        </is>
      </c>
      <c r="H217" t="inlineStr">
        <is>
          <t>Matériaux</t>
        </is>
      </c>
      <c r="I217" t="n">
        <v>7</v>
      </c>
      <c r="J217" s="5" t="n">
        <v>4175</v>
      </c>
      <c r="K217" s="6" t="n">
        <v>0</v>
      </c>
      <c r="L217" s="5" t="n">
        <v>29225</v>
      </c>
      <c r="M217" s="5" t="n">
        <v>34485</v>
      </c>
      <c r="N217" s="5">
        <f>ROUND(I217*J217*(1-K217),0)</f>
        <v/>
      </c>
    </row>
    <row r="218">
      <c r="A218" t="inlineStr">
        <is>
          <t>T05-250602-093769</t>
        </is>
      </c>
      <c r="B218" s="4" t="n">
        <v>45810</v>
      </c>
      <c r="C218" t="inlineStr">
        <is>
          <t>16:38</t>
        </is>
      </c>
      <c r="D218" t="inlineStr">
        <is>
          <t>Magasin 5 — Kaya Marché</t>
        </is>
      </c>
      <c r="E218" t="inlineStr">
        <is>
          <t>Salamatu Sankara</t>
        </is>
      </c>
      <c r="F218" t="n">
        <v>15376</v>
      </c>
      <c r="G218" t="inlineStr">
        <is>
          <t>Mètre ruban 5 m — réf 1</t>
        </is>
      </c>
      <c r="H218" t="inlineStr">
        <is>
          <t>Quincaillerie</t>
        </is>
      </c>
      <c r="I218" t="n">
        <v>7</v>
      </c>
      <c r="J218" s="5" t="n">
        <v>7575</v>
      </c>
      <c r="K218" s="6" t="n">
        <v>0</v>
      </c>
      <c r="L218" s="5" t="n">
        <v>53025</v>
      </c>
      <c r="M218" s="5" t="n">
        <v>62569</v>
      </c>
      <c r="N218" s="5">
        <f>ROUND(I218*J218*(1-K218),0)</f>
        <v/>
      </c>
    </row>
    <row r="219">
      <c r="A219" t="inlineStr">
        <is>
          <t>T05-250602-093770</t>
        </is>
      </c>
      <c r="B219" s="4" t="n">
        <v>45810</v>
      </c>
      <c r="C219" t="inlineStr">
        <is>
          <t>18:49</t>
        </is>
      </c>
      <c r="D219" t="inlineStr">
        <is>
          <t>Magasin 5 — Kaya Marché</t>
        </is>
      </c>
      <c r="E219" t="inlineStr">
        <is>
          <t>Boureima Ouédraogo</t>
        </is>
      </c>
      <c r="F219" t="n">
        <v>5244</v>
      </c>
      <c r="G219" t="inlineStr">
        <is>
          <t>Brique de terre cuite — réf 1</t>
        </is>
      </c>
      <c r="H219" t="inlineStr">
        <is>
          <t>Matériaux</t>
        </is>
      </c>
      <c r="I219" t="n">
        <v>1</v>
      </c>
      <c r="J219" s="5" t="n">
        <v>1025</v>
      </c>
      <c r="K219" s="6" t="n">
        <v>0</v>
      </c>
      <c r="L219" s="5" t="n">
        <v>1025</v>
      </c>
      <c r="M219" s="5" t="n">
        <v>1209</v>
      </c>
      <c r="N219" s="5">
        <f>ROUND(I219*J219*(1-K219),0)</f>
        <v/>
      </c>
    </row>
    <row r="220">
      <c r="A220" t="inlineStr">
        <is>
          <t>T05-250602-093770</t>
        </is>
      </c>
      <c r="B220" s="4" t="n">
        <v>45810</v>
      </c>
      <c r="C220" t="inlineStr">
        <is>
          <t>18:07</t>
        </is>
      </c>
      <c r="D220" t="inlineStr">
        <is>
          <t>Magasin 5 — Kaya Marché</t>
        </is>
      </c>
      <c r="E220" t="inlineStr">
        <is>
          <t>Moussa Ilboudo</t>
        </is>
      </c>
      <c r="F220" t="n">
        <v>0</v>
      </c>
      <c r="G220" t="inlineStr">
        <is>
          <t>Mètre ruban 5 m — réf 1</t>
        </is>
      </c>
      <c r="H220" t="inlineStr">
        <is>
          <t>Quincaillerie</t>
        </is>
      </c>
      <c r="I220" t="n">
        <v>1</v>
      </c>
      <c r="J220" s="5" t="n">
        <v>7425</v>
      </c>
      <c r="K220" s="6" t="n">
        <v>0</v>
      </c>
      <c r="L220" s="5" t="n">
        <v>7425</v>
      </c>
      <c r="M220" s="5" t="n">
        <v>8761</v>
      </c>
      <c r="N220" s="5">
        <f>ROUND(I220*J220*(1-K220),0)</f>
        <v/>
      </c>
    </row>
    <row r="221">
      <c r="A221" t="inlineStr">
        <is>
          <t>T05-250602-093770</t>
        </is>
      </c>
      <c r="B221" s="4" t="n">
        <v>45810</v>
      </c>
      <c r="C221" t="inlineStr">
        <is>
          <t>14:14</t>
        </is>
      </c>
      <c r="D221" t="inlineStr">
        <is>
          <t>Magasin 5 — Kaya Marché</t>
        </is>
      </c>
      <c r="E221" t="inlineStr">
        <is>
          <t>Adama Bationo</t>
        </is>
      </c>
      <c r="F221" t="n">
        <v>21662</v>
      </c>
      <c r="G221" t="inlineStr">
        <is>
          <t>Hourdis creux 12 — réf 1</t>
        </is>
      </c>
      <c r="H221" t="inlineStr">
        <is>
          <t>Matériaux</t>
        </is>
      </c>
      <c r="I221" t="n">
        <v>3</v>
      </c>
      <c r="J221" s="5" t="n">
        <v>1050</v>
      </c>
      <c r="K221" s="6" t="n">
        <v>0.08</v>
      </c>
      <c r="L221" s="5" t="n">
        <v>2898</v>
      </c>
      <c r="M221" s="5" t="n">
        <v>3420</v>
      </c>
      <c r="N221" s="5">
        <f>ROUND(I221*J221*(1-K221),0)</f>
        <v/>
      </c>
    </row>
    <row r="222">
      <c r="A222" t="inlineStr">
        <is>
          <t>T05-250602-093771</t>
        </is>
      </c>
      <c r="B222" s="4" t="n">
        <v>45810</v>
      </c>
      <c r="C222" t="inlineStr">
        <is>
          <t>10:31</t>
        </is>
      </c>
      <c r="D222" t="inlineStr">
        <is>
          <t>Magasin 5 — Kaya Marché</t>
        </is>
      </c>
      <c r="E222" t="inlineStr">
        <is>
          <t>Salamatu Sankara</t>
        </is>
      </c>
      <c r="F222" t="n">
        <v>0</v>
      </c>
      <c r="G222" t="inlineStr">
        <is>
          <t>Batterie à décharge lente 120 Ah — réf 1</t>
        </is>
      </c>
      <c r="H222" t="inlineStr">
        <is>
          <t>Electricité</t>
        </is>
      </c>
      <c r="I222" t="n">
        <v>1</v>
      </c>
      <c r="J222" s="5" t="n">
        <v>17775</v>
      </c>
      <c r="K222" s="6" t="n">
        <v>0</v>
      </c>
      <c r="L222" s="5" t="n">
        <v>17775</v>
      </c>
      <c r="M222" s="5" t="n">
        <v>20975</v>
      </c>
      <c r="N222" s="5">
        <f>ROUND(I222*J222*(1-K222),0)</f>
        <v/>
      </c>
    </row>
    <row r="223">
      <c r="A223" t="inlineStr">
        <is>
          <t>T05-250602-093771</t>
        </is>
      </c>
      <c r="B223" s="4" t="n">
        <v>45810</v>
      </c>
      <c r="C223" t="inlineStr">
        <is>
          <t>14:50</t>
        </is>
      </c>
      <c r="D223" t="inlineStr">
        <is>
          <t>Magasin 5 — Kaya Marché</t>
        </is>
      </c>
      <c r="E223" t="inlineStr">
        <is>
          <t>Salamatu Sankara</t>
        </is>
      </c>
      <c r="F223" t="n">
        <v>14519</v>
      </c>
      <c r="G223" t="inlineStr">
        <is>
          <t>Disjoncteur différentiel 30 mA — réf 2</t>
        </is>
      </c>
      <c r="H223" t="inlineStr">
        <is>
          <t>Electricité</t>
        </is>
      </c>
      <c r="I223" t="n">
        <v>4</v>
      </c>
      <c r="J223" s="5" t="n">
        <v>12550</v>
      </c>
      <c r="K223" s="6" t="n">
        <v>0</v>
      </c>
      <c r="L223" s="5" t="n">
        <v>50200</v>
      </c>
      <c r="M223" s="5" t="n">
        <v>59236</v>
      </c>
      <c r="N223" s="5">
        <f>ROUND(I223*J223*(1-K223),0)</f>
        <v/>
      </c>
    </row>
    <row r="224">
      <c r="A224" t="inlineStr">
        <is>
          <t>T05-250603-093876</t>
        </is>
      </c>
      <c r="B224" s="4" t="n">
        <v>45811</v>
      </c>
      <c r="C224" t="inlineStr">
        <is>
          <t>10:50</t>
        </is>
      </c>
      <c r="D224" t="inlineStr">
        <is>
          <t>Magasin 5 — Kaya Marché</t>
        </is>
      </c>
      <c r="E224" t="inlineStr">
        <is>
          <t>Moussa Ilboudo</t>
        </is>
      </c>
      <c r="F224" t="n">
        <v>17014</v>
      </c>
      <c r="G224" t="inlineStr">
        <is>
          <t>Meuleuse 125 mm — réf 2</t>
        </is>
      </c>
      <c r="H224" t="inlineStr">
        <is>
          <t>Quincaillerie</t>
        </is>
      </c>
      <c r="I224" t="n">
        <v>4</v>
      </c>
      <c r="J224" s="5" t="n">
        <v>5875</v>
      </c>
      <c r="K224" s="6" t="n">
        <v>0.08</v>
      </c>
      <c r="L224" s="5" t="n">
        <v>21620</v>
      </c>
      <c r="M224" s="5" t="n">
        <v>25512</v>
      </c>
      <c r="N224" s="5">
        <f>ROUND(I224*J224*(1-K224),0)</f>
        <v/>
      </c>
    </row>
    <row r="225">
      <c r="A225" t="inlineStr">
        <is>
          <t>T05-250603-093876</t>
        </is>
      </c>
      <c r="B225" s="4" t="n">
        <v>45811</v>
      </c>
      <c r="C225" t="inlineStr">
        <is>
          <t>11:04</t>
        </is>
      </c>
      <c r="D225" t="inlineStr">
        <is>
          <t>Magasin 5 — Kaya Marché</t>
        </is>
      </c>
      <c r="E225" t="inlineStr">
        <is>
          <t>Boureima Ouédraogo</t>
        </is>
      </c>
      <c r="F225" t="n">
        <v>14525</v>
      </c>
      <c r="G225" t="inlineStr">
        <is>
          <t>Ampoule LED 9 W — réf 1</t>
        </is>
      </c>
      <c r="H225" t="inlineStr">
        <is>
          <t>Electricité</t>
        </is>
      </c>
      <c r="I225" t="n">
        <v>2</v>
      </c>
      <c r="J225" s="5" t="n">
        <v>9475</v>
      </c>
      <c r="K225" s="6" t="n">
        <v>0</v>
      </c>
      <c r="L225" s="5" t="n">
        <v>18950</v>
      </c>
      <c r="M225" s="5" t="n">
        <v>22361</v>
      </c>
      <c r="N225" s="5">
        <f>ROUND(I225*J225*(1-K225),0)</f>
        <v/>
      </c>
    </row>
    <row r="226">
      <c r="A226" t="inlineStr">
        <is>
          <t>T05-250603-093876</t>
        </is>
      </c>
      <c r="B226" s="4" t="n">
        <v>45811</v>
      </c>
      <c r="C226" t="inlineStr">
        <is>
          <t>11:37</t>
        </is>
      </c>
      <c r="D226" t="inlineStr">
        <is>
          <t>Magasin 5 — Kaya Marché</t>
        </is>
      </c>
      <c r="E226" t="inlineStr">
        <is>
          <t>Boureima Ouédraogo</t>
        </is>
      </c>
      <c r="F226" t="n">
        <v>2988</v>
      </c>
      <c r="G226" t="inlineStr">
        <is>
          <t>Lame de lambris 4 m — réf 2</t>
        </is>
      </c>
      <c r="H226" t="inlineStr">
        <is>
          <t>Bois &amp; panneaux</t>
        </is>
      </c>
      <c r="I226" t="n">
        <v>14</v>
      </c>
      <c r="J226" s="5" t="n">
        <v>15950</v>
      </c>
      <c r="K226" s="6" t="n">
        <v>0</v>
      </c>
      <c r="L226" s="5" t="n">
        <v>223300</v>
      </c>
      <c r="M226" s="5" t="n">
        <v>263494</v>
      </c>
      <c r="N226" s="5">
        <f>ROUND(I226*J226*(1-K226),0)</f>
        <v/>
      </c>
    </row>
    <row r="227">
      <c r="A227" t="inlineStr">
        <is>
          <t>T05-250603-093877</t>
        </is>
      </c>
      <c r="B227" s="4" t="n">
        <v>45811</v>
      </c>
      <c r="C227" t="inlineStr">
        <is>
          <t>07:08</t>
        </is>
      </c>
      <c r="D227" t="inlineStr">
        <is>
          <t>Magasin 5 — Kaya Marché</t>
        </is>
      </c>
      <c r="E227" t="inlineStr">
        <is>
          <t>Salamatu Sankara</t>
        </is>
      </c>
      <c r="F227" t="n">
        <v>6405</v>
      </c>
      <c r="G227" t="inlineStr">
        <is>
          <t>Clé plate 13 — réf 2</t>
        </is>
      </c>
      <c r="H227" t="inlineStr">
        <is>
          <t>Quincaillerie</t>
        </is>
      </c>
      <c r="I227" t="n">
        <v>1</v>
      </c>
      <c r="J227" s="5" t="n">
        <v>10625</v>
      </c>
      <c r="K227" s="6" t="n">
        <v>0.04</v>
      </c>
      <c r="L227" s="5" t="n">
        <v>10200</v>
      </c>
      <c r="M227" s="5" t="n">
        <v>12036</v>
      </c>
      <c r="N227" s="5">
        <f>ROUND(I227*J227*(1-K227),0)</f>
        <v/>
      </c>
    </row>
    <row r="228">
      <c r="A228" t="inlineStr">
        <is>
          <t>T05-250603-093877</t>
        </is>
      </c>
      <c r="B228" s="4" t="n">
        <v>45811</v>
      </c>
      <c r="C228" t="inlineStr">
        <is>
          <t>12:01</t>
        </is>
      </c>
      <c r="D228" t="inlineStr">
        <is>
          <t>Magasin 5 — Kaya Marché</t>
        </is>
      </c>
      <c r="E228" t="inlineStr">
        <is>
          <t>Moussa Ilboudo</t>
        </is>
      </c>
      <c r="F228" t="n">
        <v>5892</v>
      </c>
      <c r="G228" t="inlineStr">
        <is>
          <t>Mètre ruban 5 m — réf 1</t>
        </is>
      </c>
      <c r="H228" t="inlineStr">
        <is>
          <t>Quincaillerie</t>
        </is>
      </c>
      <c r="I228" t="n">
        <v>18</v>
      </c>
      <c r="J228" s="5" t="n">
        <v>7650</v>
      </c>
      <c r="K228" s="6" t="n">
        <v>0.08</v>
      </c>
      <c r="L228" s="5" t="n">
        <v>126684</v>
      </c>
      <c r="M228" s="5" t="n">
        <v>149487</v>
      </c>
      <c r="N228" s="5">
        <f>ROUND(I228*J228*(1-K228),0)</f>
        <v/>
      </c>
    </row>
    <row r="229">
      <c r="A229" t="inlineStr">
        <is>
          <t>T05-250603-093877</t>
        </is>
      </c>
      <c r="B229" s="4" t="n">
        <v>45811</v>
      </c>
      <c r="C229" t="inlineStr">
        <is>
          <t>15:41</t>
        </is>
      </c>
      <c r="D229" t="inlineStr">
        <is>
          <t>Magasin 5 — Kaya Marché</t>
        </is>
      </c>
      <c r="E229" t="inlineStr">
        <is>
          <t>Adama Bationo</t>
        </is>
      </c>
      <c r="F229" t="n">
        <v>7824</v>
      </c>
      <c r="G229" t="inlineStr">
        <is>
          <t>Ballon d'eau chaude 50 L — réf 1</t>
        </is>
      </c>
      <c r="H229" t="inlineStr">
        <is>
          <t>Plomberie</t>
        </is>
      </c>
      <c r="I229" t="n">
        <v>6</v>
      </c>
      <c r="J229" s="5" t="n">
        <v>33325</v>
      </c>
      <c r="K229" s="6" t="n">
        <v>0</v>
      </c>
      <c r="L229" s="5" t="n">
        <v>199950</v>
      </c>
      <c r="M229" s="5" t="n">
        <v>235941</v>
      </c>
      <c r="N229" s="5">
        <f>ROUND(I229*J229*(1-K229),0)</f>
        <v/>
      </c>
    </row>
    <row r="230">
      <c r="A230" t="inlineStr">
        <is>
          <t>T05-250603-093878</t>
        </is>
      </c>
      <c r="B230" s="4" t="n">
        <v>45811</v>
      </c>
      <c r="C230" t="inlineStr">
        <is>
          <t>13:44</t>
        </is>
      </c>
      <c r="D230" t="inlineStr">
        <is>
          <t>Magasin 5 — Kaya Marché</t>
        </is>
      </c>
      <c r="E230" t="inlineStr">
        <is>
          <t>Moussa Ilboudo</t>
        </is>
      </c>
      <c r="F230" t="n">
        <v>19541</v>
      </c>
      <c r="G230" t="inlineStr">
        <is>
          <t>Bêche à manche bois — réf 1</t>
        </is>
      </c>
      <c r="H230" t="inlineStr">
        <is>
          <t>Consommables</t>
        </is>
      </c>
      <c r="I230" t="n">
        <v>4</v>
      </c>
      <c r="J230" s="5" t="n">
        <v>5400</v>
      </c>
      <c r="K230" s="6" t="n">
        <v>0.04</v>
      </c>
      <c r="L230" s="5" t="n">
        <v>20736</v>
      </c>
      <c r="M230" s="5" t="n">
        <v>24468</v>
      </c>
      <c r="N230" s="5">
        <f>ROUND(I230*J230*(1-K230),0)</f>
        <v/>
      </c>
    </row>
    <row r="231">
      <c r="A231" t="inlineStr">
        <is>
          <t>T05-250603-093878</t>
        </is>
      </c>
      <c r="B231" s="4" t="n">
        <v>45811</v>
      </c>
      <c r="C231" t="inlineStr">
        <is>
          <t>13:29</t>
        </is>
      </c>
      <c r="D231" t="inlineStr">
        <is>
          <t>Magasin 5 — Kaya Marché</t>
        </is>
      </c>
      <c r="E231" t="inlineStr">
        <is>
          <t>Moussa Ilboudo</t>
        </is>
      </c>
      <c r="F231" t="n">
        <v>4341</v>
      </c>
      <c r="G231" t="inlineStr">
        <is>
          <t>Vis à bois 4x40 (boîte) — réf 1</t>
        </is>
      </c>
      <c r="H231" t="inlineStr">
        <is>
          <t>Quincaillerie</t>
        </is>
      </c>
      <c r="I231" t="n">
        <v>3</v>
      </c>
      <c r="J231" s="5" t="n">
        <v>1800</v>
      </c>
      <c r="K231" s="6" t="n">
        <v>0.04</v>
      </c>
      <c r="L231" s="5" t="n">
        <v>5184</v>
      </c>
      <c r="M231" s="5" t="n">
        <v>6117</v>
      </c>
      <c r="N231" s="5">
        <f>ROUND(I231*J231*(1-K231),0)</f>
        <v/>
      </c>
    </row>
    <row r="232">
      <c r="A232" t="inlineStr">
        <is>
          <t>T05-250603-093878</t>
        </is>
      </c>
      <c r="B232" s="4" t="n">
        <v>45811</v>
      </c>
      <c r="C232" t="inlineStr">
        <is>
          <t>17:06</t>
        </is>
      </c>
      <c r="D232" t="inlineStr">
        <is>
          <t>Magasin 5 — Kaya Marché</t>
        </is>
      </c>
      <c r="E232" t="inlineStr">
        <is>
          <t>Salamatu Sankara</t>
        </is>
      </c>
      <c r="F232" t="n">
        <v>4037</v>
      </c>
      <c r="G232" t="inlineStr">
        <is>
          <t>Peinture acrylique blanc 10 L — réf 2</t>
        </is>
      </c>
      <c r="H232" t="inlineStr">
        <is>
          <t>Peinture</t>
        </is>
      </c>
      <c r="I232" t="n">
        <v>17</v>
      </c>
      <c r="J232" s="5" t="n">
        <v>6750</v>
      </c>
      <c r="K232" s="6" t="n">
        <v>0</v>
      </c>
      <c r="L232" s="5" t="n">
        <v>114750</v>
      </c>
      <c r="M232" s="5" t="n">
        <v>135405</v>
      </c>
      <c r="N232" s="5">
        <f>ROUND(I232*J232*(1-K232),0)</f>
        <v/>
      </c>
    </row>
    <row r="233">
      <c r="A233" t="inlineStr">
        <is>
          <t>T05-250603-093879</t>
        </is>
      </c>
      <c r="B233" s="4" t="n">
        <v>45811</v>
      </c>
      <c r="C233" t="inlineStr">
        <is>
          <t>14:15</t>
        </is>
      </c>
      <c r="D233" t="inlineStr">
        <is>
          <t>Magasin 5 — Kaya Marché</t>
        </is>
      </c>
      <c r="E233" t="inlineStr">
        <is>
          <t>Boureima Ouédraogo</t>
        </is>
      </c>
      <c r="F233" t="n">
        <v>5173</v>
      </c>
      <c r="G233" t="inlineStr">
        <is>
          <t>Brique de terre cuite — réf 2</t>
        </is>
      </c>
      <c r="H233" t="inlineStr">
        <is>
          <t>Matériaux</t>
        </is>
      </c>
      <c r="I233" t="n">
        <v>1</v>
      </c>
      <c r="J233" s="5" t="n">
        <v>700</v>
      </c>
      <c r="K233" s="6" t="n">
        <v>0</v>
      </c>
      <c r="L233" s="5" t="n">
        <v>700</v>
      </c>
      <c r="M233" s="5" t="n">
        <v>826</v>
      </c>
      <c r="N233" s="5">
        <f>ROUND(I233*J233*(1-K233),0)</f>
        <v/>
      </c>
    </row>
    <row r="234">
      <c r="A234" t="inlineStr">
        <is>
          <t>T05-250603-093879</t>
        </is>
      </c>
      <c r="B234" s="4" t="n">
        <v>45811</v>
      </c>
      <c r="C234" t="inlineStr">
        <is>
          <t>13:05</t>
        </is>
      </c>
      <c r="D234" t="inlineStr">
        <is>
          <t>Magasin 5 — Kaya Marché</t>
        </is>
      </c>
      <c r="E234" t="inlineStr">
        <is>
          <t>Moussa Ilboudo</t>
        </is>
      </c>
      <c r="F234" t="n">
        <v>17169</v>
      </c>
      <c r="G234" t="inlineStr">
        <is>
          <t>Hourdis creux 12 — réf 2</t>
        </is>
      </c>
      <c r="H234" t="inlineStr">
        <is>
          <t>Matériaux</t>
        </is>
      </c>
      <c r="I234" t="n">
        <v>2</v>
      </c>
      <c r="J234" s="5" t="n">
        <v>1575</v>
      </c>
      <c r="K234" s="6" t="n">
        <v>0.08</v>
      </c>
      <c r="L234" s="5" t="n">
        <v>2898</v>
      </c>
      <c r="M234" s="5" t="n">
        <v>3420</v>
      </c>
      <c r="N234" s="5">
        <f>ROUND(I234*J234*(1-K234),0)</f>
        <v/>
      </c>
    </row>
    <row r="235">
      <c r="A235" t="inlineStr">
        <is>
          <t>T05-250603-093879</t>
        </is>
      </c>
      <c r="B235" s="4" t="n">
        <v>45811</v>
      </c>
      <c r="C235" t="inlineStr">
        <is>
          <t>07:11</t>
        </is>
      </c>
      <c r="D235" t="inlineStr">
        <is>
          <t>Magasin 5 — Kaya Marché</t>
        </is>
      </c>
      <c r="E235" t="inlineStr">
        <is>
          <t>Moussa Ilboudo</t>
        </is>
      </c>
      <c r="F235" t="n">
        <v>0</v>
      </c>
      <c r="G235" t="inlineStr">
        <is>
          <t>Mastic d'étanchéité — réf 1</t>
        </is>
      </c>
      <c r="H235" t="inlineStr">
        <is>
          <t>Plomberie</t>
        </is>
      </c>
      <c r="I235" t="n">
        <v>5</v>
      </c>
      <c r="J235" s="5" t="n">
        <v>3375</v>
      </c>
      <c r="K235" s="6" t="n">
        <v>0</v>
      </c>
      <c r="L235" s="5" t="n">
        <v>16875</v>
      </c>
      <c r="M235" s="5" t="n">
        <v>19913</v>
      </c>
      <c r="N235" s="5">
        <f>ROUND(I235*J235*(1-K235),0)</f>
        <v/>
      </c>
    </row>
    <row r="236">
      <c r="A236" t="inlineStr">
        <is>
          <t>T05-250604-093928</t>
        </is>
      </c>
      <c r="B236" s="4" t="n">
        <v>45812</v>
      </c>
      <c r="C236" t="inlineStr">
        <is>
          <t>13:30</t>
        </is>
      </c>
      <c r="D236" t="inlineStr">
        <is>
          <t>Magasin 5 — Kaya Marché</t>
        </is>
      </c>
      <c r="E236" t="inlineStr">
        <is>
          <t>Adama Bationo</t>
        </is>
      </c>
      <c r="F236" t="n">
        <v>0</v>
      </c>
      <c r="G236" t="inlineStr">
        <is>
          <t>Peinture toiture 25 kg — réf 2</t>
        </is>
      </c>
      <c r="H236" t="inlineStr">
        <is>
          <t>Peinture</t>
        </is>
      </c>
      <c r="I236" t="n">
        <v>2</v>
      </c>
      <c r="J236" s="5" t="n">
        <v>6025</v>
      </c>
      <c r="K236" s="6" t="n">
        <v>0</v>
      </c>
      <c r="L236" s="5" t="n">
        <v>12050</v>
      </c>
      <c r="M236" s="5" t="n">
        <v>14219</v>
      </c>
      <c r="N236" s="5">
        <f>ROUND(I236*J236*(1-K236),0)</f>
        <v/>
      </c>
    </row>
    <row r="237">
      <c r="A237" t="inlineStr">
        <is>
          <t>T05-250604-093929</t>
        </is>
      </c>
      <c r="B237" s="4" t="n">
        <v>45812</v>
      </c>
      <c r="C237" t="inlineStr">
        <is>
          <t>11:21</t>
        </is>
      </c>
      <c r="D237" t="inlineStr">
        <is>
          <t>Magasin 5 — Kaya Marché</t>
        </is>
      </c>
      <c r="E237" t="inlineStr">
        <is>
          <t>Adama Bationo</t>
        </is>
      </c>
      <c r="F237" t="n">
        <v>984</v>
      </c>
      <c r="G237" t="inlineStr">
        <is>
          <t>Régulateur de charge 10 A — réf 2</t>
        </is>
      </c>
      <c r="H237" t="inlineStr">
        <is>
          <t>Electricité</t>
        </is>
      </c>
      <c r="I237" t="n">
        <v>1</v>
      </c>
      <c r="J237" s="5" t="n">
        <v>10950</v>
      </c>
      <c r="K237" s="6" t="n">
        <v>0.04</v>
      </c>
      <c r="L237" s="5" t="n">
        <v>10512</v>
      </c>
      <c r="M237" s="5" t="n">
        <v>12404</v>
      </c>
      <c r="N237" s="5">
        <f>ROUND(I237*J237*(1-K237),0)</f>
        <v/>
      </c>
    </row>
    <row r="238">
      <c r="A238" t="inlineStr">
        <is>
          <t>T05-250604-093930</t>
        </is>
      </c>
      <c r="B238" s="4" t="n">
        <v>45812</v>
      </c>
      <c r="C238" t="inlineStr">
        <is>
          <t>15:54</t>
        </is>
      </c>
      <c r="D238" t="inlineStr">
        <is>
          <t>Magasin 5 — Kaya Marché</t>
        </is>
      </c>
      <c r="E238" t="inlineStr">
        <is>
          <t>Moussa Ilboudo</t>
        </is>
      </c>
      <c r="F238" t="n">
        <v>20360</v>
      </c>
      <c r="G238" t="inlineStr">
        <is>
          <t>Bêche à manche bois — réf 2</t>
        </is>
      </c>
      <c r="H238" t="inlineStr">
        <is>
          <t>Consommables</t>
        </is>
      </c>
      <c r="I238" t="n">
        <v>9</v>
      </c>
      <c r="J238" s="5" t="n">
        <v>5750</v>
      </c>
      <c r="K238" s="6" t="n">
        <v>0</v>
      </c>
      <c r="L238" s="5" t="n">
        <v>51750</v>
      </c>
      <c r="M238" s="5" t="n">
        <v>61065</v>
      </c>
      <c r="N238" s="5">
        <f>ROUND(I238*J238*(1-K238),0)</f>
        <v/>
      </c>
    </row>
    <row r="239">
      <c r="A239" t="inlineStr">
        <is>
          <t>T05-250604-093931</t>
        </is>
      </c>
      <c r="B239" s="4" t="n">
        <v>45812</v>
      </c>
      <c r="C239" t="inlineStr">
        <is>
          <t>13:50</t>
        </is>
      </c>
      <c r="D239" t="inlineStr">
        <is>
          <t>Magasin 5 — Kaya Marché</t>
        </is>
      </c>
      <c r="E239" t="inlineStr">
        <is>
          <t>Adama Bationo</t>
        </is>
      </c>
      <c r="F239" t="n">
        <v>6608</v>
      </c>
      <c r="G239" t="inlineStr">
        <is>
          <t>Meuleuse 125 mm — réf 2</t>
        </is>
      </c>
      <c r="H239" t="inlineStr">
        <is>
          <t>Quincaillerie</t>
        </is>
      </c>
      <c r="I239" t="n">
        <v>16</v>
      </c>
      <c r="J239" s="5" t="n">
        <v>5950</v>
      </c>
      <c r="K239" s="6" t="n">
        <v>0</v>
      </c>
      <c r="L239" s="5" t="n">
        <v>95200</v>
      </c>
      <c r="M239" s="5" t="n">
        <v>112336</v>
      </c>
      <c r="N239" s="5">
        <f>ROUND(I239*J239*(1-K239),0)</f>
        <v/>
      </c>
    </row>
    <row r="240">
      <c r="A240" t="inlineStr">
        <is>
          <t>T05-250604-093932</t>
        </is>
      </c>
      <c r="B240" s="4" t="n">
        <v>45812</v>
      </c>
      <c r="C240" t="inlineStr">
        <is>
          <t>16:33</t>
        </is>
      </c>
      <c r="D240" t="inlineStr">
        <is>
          <t>Magasin 5 — Kaya Marché</t>
        </is>
      </c>
      <c r="E240" t="inlineStr">
        <is>
          <t>Salamatu Sankara</t>
        </is>
      </c>
      <c r="F240" t="n">
        <v>6961</v>
      </c>
      <c r="G240" t="inlineStr">
        <is>
          <t>Gants anti-coupure (paire) — réf 1</t>
        </is>
      </c>
      <c r="H240" t="inlineStr">
        <is>
          <t>Consommables</t>
        </is>
      </c>
      <c r="I240" t="n">
        <v>2</v>
      </c>
      <c r="J240" s="5" t="n">
        <v>8875</v>
      </c>
      <c r="K240" s="6" t="n">
        <v>0.08</v>
      </c>
      <c r="L240" s="5" t="n">
        <v>16330</v>
      </c>
      <c r="M240" s="5" t="n">
        <v>19269</v>
      </c>
      <c r="N240" s="5">
        <f>ROUND(I240*J240*(1-K240),0)</f>
        <v/>
      </c>
    </row>
    <row r="241">
      <c r="A241" t="inlineStr">
        <is>
          <t>T05-250604-093933</t>
        </is>
      </c>
      <c r="B241" s="4" t="n">
        <v>45812</v>
      </c>
      <c r="C241" t="inlineStr">
        <is>
          <t>18:03</t>
        </is>
      </c>
      <c r="D241" t="inlineStr">
        <is>
          <t>Magasin 5 — Kaya Marché</t>
        </is>
      </c>
      <c r="E241" t="inlineStr">
        <is>
          <t>Salamatu Sankara</t>
        </is>
      </c>
      <c r="F241" t="inlineStr"/>
      <c r="G241" t="inlineStr">
        <is>
          <t>Mètre ruban 5 m — réf 1</t>
        </is>
      </c>
      <c r="H241" t="inlineStr">
        <is>
          <t>Quincaillerie</t>
        </is>
      </c>
      <c r="I241" t="n">
        <v>1</v>
      </c>
      <c r="J241" s="5" t="n">
        <v>7500</v>
      </c>
      <c r="K241" s="6" t="n">
        <v>0.04</v>
      </c>
      <c r="L241" s="5" t="n">
        <v>7200</v>
      </c>
      <c r="M241" s="5" t="n">
        <v>8496</v>
      </c>
      <c r="N241" s="5">
        <f>ROUND(I241*J241*(1-K241),0)</f>
        <v/>
      </c>
    </row>
    <row r="242">
      <c r="A242" t="inlineStr">
        <is>
          <t>T05-250701-096416</t>
        </is>
      </c>
      <c r="B242" s="4" t="n">
        <v>45839</v>
      </c>
      <c r="C242" t="inlineStr">
        <is>
          <t>16:24</t>
        </is>
      </c>
      <c r="D242" t="inlineStr">
        <is>
          <t>Magasin 5 — Kaya Marché</t>
        </is>
      </c>
      <c r="E242" t="inlineStr">
        <is>
          <t>Salamatu Sankara</t>
        </is>
      </c>
      <c r="F242" t="n">
        <v>1934</v>
      </c>
      <c r="G242" t="inlineStr">
        <is>
          <t>Clé plate 13 — réf 1</t>
        </is>
      </c>
      <c r="H242" t="inlineStr">
        <is>
          <t>Quincaillerie</t>
        </is>
      </c>
      <c r="I242" t="n">
        <v>1</v>
      </c>
      <c r="J242" s="5" t="n">
        <v>9550</v>
      </c>
      <c r="K242" s="6" t="n">
        <v>0.04</v>
      </c>
      <c r="L242" s="5" t="n">
        <v>9168</v>
      </c>
      <c r="M242" s="5" t="n">
        <v>10818</v>
      </c>
      <c r="N242" s="5">
        <f>ROUND(I242*J242*(1-K242),0)</f>
        <v/>
      </c>
    </row>
    <row r="243">
      <c r="A243" t="inlineStr">
        <is>
          <t>T05-250701-096416</t>
        </is>
      </c>
      <c r="B243" s="4" t="n">
        <v>45839</v>
      </c>
      <c r="C243" t="inlineStr">
        <is>
          <t>15:38</t>
        </is>
      </c>
      <c r="D243" t="inlineStr">
        <is>
          <t>Magasin 5 — Kaya Marché</t>
        </is>
      </c>
      <c r="E243" t="inlineStr">
        <is>
          <t>Adama Bationo</t>
        </is>
      </c>
      <c r="F243" t="n">
        <v>2296</v>
      </c>
      <c r="G243" t="inlineStr">
        <is>
          <t>Gravier 15/25 (m3) — réf 2</t>
        </is>
      </c>
      <c r="H243" t="inlineStr">
        <is>
          <t>Matériaux</t>
        </is>
      </c>
      <c r="I243" t="n">
        <v>3</v>
      </c>
      <c r="J243" s="5" t="n">
        <v>22075</v>
      </c>
      <c r="K243" s="6" t="n">
        <v>0</v>
      </c>
      <c r="L243" s="5" t="n">
        <v>66225</v>
      </c>
      <c r="M243" s="5" t="n">
        <v>78145</v>
      </c>
      <c r="N243" s="5">
        <f>ROUND(I243*J243*(1-K243),0)</f>
        <v/>
      </c>
    </row>
    <row r="244">
      <c r="A244" t="inlineStr">
        <is>
          <t>T05-250701-096416</t>
        </is>
      </c>
      <c r="B244" s="4" t="n">
        <v>45839</v>
      </c>
      <c r="C244" t="inlineStr">
        <is>
          <t>18:25</t>
        </is>
      </c>
      <c r="D244" t="inlineStr">
        <is>
          <t>Magasin 5 — Kaya Marché</t>
        </is>
      </c>
      <c r="E244" t="inlineStr">
        <is>
          <t>Adama Bationo</t>
        </is>
      </c>
      <c r="F244" t="n">
        <v>0</v>
      </c>
      <c r="G244" t="inlineStr">
        <is>
          <t>Cheville nylon 8 mm (sachet) — réf 1</t>
        </is>
      </c>
      <c r="H244" t="inlineStr">
        <is>
          <t>Quincaillerie</t>
        </is>
      </c>
      <c r="I244" t="n">
        <v>3</v>
      </c>
      <c r="J244" s="5" t="n">
        <v>2425</v>
      </c>
      <c r="K244" s="6" t="n">
        <v>0</v>
      </c>
      <c r="L244" s="5" t="n">
        <v>7275</v>
      </c>
      <c r="M244" s="5" t="n">
        <v>8585</v>
      </c>
      <c r="N244" s="5">
        <f>ROUND(I244*J244*(1-K244),0)</f>
        <v/>
      </c>
    </row>
    <row r="245">
      <c r="A245" t="inlineStr">
        <is>
          <t>T05-250701-096417</t>
        </is>
      </c>
      <c r="B245" s="4" t="n">
        <v>45839</v>
      </c>
      <c r="C245" t="inlineStr">
        <is>
          <t>12:13</t>
        </is>
      </c>
      <c r="D245" t="inlineStr">
        <is>
          <t>Magasin 5 — Kaya Marché</t>
        </is>
      </c>
      <c r="E245" t="inlineStr">
        <is>
          <t>Moussa Ilboudo</t>
        </is>
      </c>
      <c r="F245" t="n">
        <v>9379</v>
      </c>
      <c r="G245" t="inlineStr">
        <is>
          <t>Baguette de finition 2,4 m — réf 2</t>
        </is>
      </c>
      <c r="H245" t="inlineStr">
        <is>
          <t>Bois &amp; panneaux</t>
        </is>
      </c>
      <c r="I245" t="n">
        <v>-3</v>
      </c>
      <c r="J245" s="5" t="n">
        <v>14650</v>
      </c>
      <c r="K245" s="6" t="n">
        <v>0.08</v>
      </c>
      <c r="L245" s="5" t="n">
        <v>-40434</v>
      </c>
      <c r="M245" s="5" t="n">
        <v>-47712</v>
      </c>
      <c r="N245" s="5">
        <f>ROUND(I245*J245*(1-K245),0)</f>
        <v/>
      </c>
    </row>
    <row r="246">
      <c r="A246" t="inlineStr">
        <is>
          <t>T05-250701-096417</t>
        </is>
      </c>
      <c r="B246" s="4" t="n">
        <v>45839</v>
      </c>
      <c r="C246" t="inlineStr">
        <is>
          <t>07:18</t>
        </is>
      </c>
      <c r="D246" t="inlineStr">
        <is>
          <t>Magasin 5 — Kaya Marché</t>
        </is>
      </c>
      <c r="E246" t="inlineStr">
        <is>
          <t>Moussa Ilboudo</t>
        </is>
      </c>
      <c r="F246" t="inlineStr"/>
      <c r="G246" t="inlineStr">
        <is>
          <t>Ciment CPJ35 50 kg — réf 2</t>
        </is>
      </c>
      <c r="H246" t="inlineStr">
        <is>
          <t>Matériaux</t>
        </is>
      </c>
      <c r="I246" t="n">
        <v>17</v>
      </c>
      <c r="J246" s="5" t="n">
        <v>4275</v>
      </c>
      <c r="K246" s="6" t="n">
        <v>0.04</v>
      </c>
      <c r="L246" s="5" t="n">
        <v>69768</v>
      </c>
      <c r="M246" s="5" t="n">
        <v>82326</v>
      </c>
      <c r="N246" s="5">
        <f>ROUND(I246*J246*(1-K246),0)</f>
        <v/>
      </c>
    </row>
    <row r="247">
      <c r="A247" t="inlineStr">
        <is>
          <t>T05-250701-096418</t>
        </is>
      </c>
      <c r="B247" s="4" t="n">
        <v>45839</v>
      </c>
      <c r="C247" t="inlineStr">
        <is>
          <t>09:00</t>
        </is>
      </c>
      <c r="D247" t="inlineStr">
        <is>
          <t>Magasin 5 — Kaya Marché</t>
        </is>
      </c>
      <c r="E247" t="inlineStr">
        <is>
          <t>Moussa Ilboudo</t>
        </is>
      </c>
      <c r="F247" t="n">
        <v>21947</v>
      </c>
      <c r="G247" t="inlineStr">
        <is>
          <t>Pointe 100 mm (kg) — réf 2</t>
        </is>
      </c>
      <c r="H247" t="inlineStr">
        <is>
          <t>Quincaillerie</t>
        </is>
      </c>
      <c r="I247" t="n">
        <v>8</v>
      </c>
      <c r="J247" s="5" t="n">
        <v>1400</v>
      </c>
      <c r="K247" s="6" t="n">
        <v>0.04</v>
      </c>
      <c r="L247" s="5" t="n">
        <v>10752</v>
      </c>
      <c r="M247" s="5" t="n">
        <v>12687</v>
      </c>
      <c r="N247" s="5">
        <f>ROUND(I247*J247*(1-K247),0)</f>
        <v/>
      </c>
    </row>
    <row r="248">
      <c r="A248" t="inlineStr">
        <is>
          <t>T05-250701-096418</t>
        </is>
      </c>
      <c r="B248" s="4" t="n">
        <v>45839</v>
      </c>
      <c r="C248" t="inlineStr">
        <is>
          <t>16:23</t>
        </is>
      </c>
      <c r="D248" t="inlineStr">
        <is>
          <t>Magasin 5 — Kaya Marché</t>
        </is>
      </c>
      <c r="E248" t="inlineStr">
        <is>
          <t>Adama Bationo</t>
        </is>
      </c>
      <c r="F248" t="n">
        <v>1242</v>
      </c>
      <c r="G248" t="inlineStr">
        <is>
          <t>Vis à bois 4x40 (boîte) — réf 2</t>
        </is>
      </c>
      <c r="H248" t="inlineStr">
        <is>
          <t>Quincaillerie</t>
        </is>
      </c>
      <c r="I248" t="n">
        <v>21</v>
      </c>
      <c r="J248" s="5" t="n">
        <v>1625</v>
      </c>
      <c r="K248" s="6" t="n">
        <v>0.04</v>
      </c>
      <c r="L248" s="5" t="n">
        <v>32760</v>
      </c>
      <c r="M248" s="5" t="n">
        <v>38657</v>
      </c>
      <c r="N248" s="5">
        <f>ROUND(I248*J248*(1-K248),0)</f>
        <v/>
      </c>
    </row>
    <row r="249">
      <c r="A249" t="inlineStr">
        <is>
          <t>T05-250701-096419</t>
        </is>
      </c>
      <c r="B249" s="4" t="n">
        <v>45839</v>
      </c>
      <c r="C249" t="inlineStr">
        <is>
          <t>18:03</t>
        </is>
      </c>
      <c r="D249" t="inlineStr">
        <is>
          <t>Magasin 5 — Kaya Marché</t>
        </is>
      </c>
      <c r="E249" t="inlineStr">
        <is>
          <t>Boureima Ouédraogo</t>
        </is>
      </c>
      <c r="F249" t="n">
        <v>20420</v>
      </c>
      <c r="G249" t="inlineStr">
        <is>
          <t>Gravier 15/25 (m3) — réf 2</t>
        </is>
      </c>
      <c r="H249" t="inlineStr">
        <is>
          <t>Matériaux</t>
        </is>
      </c>
      <c r="I249" t="n">
        <v>2</v>
      </c>
      <c r="J249" s="5" t="n">
        <v>21075</v>
      </c>
      <c r="K249" s="6" t="n">
        <v>0.08</v>
      </c>
      <c r="L249" s="5" t="n">
        <v>38778</v>
      </c>
      <c r="M249" s="5" t="n">
        <v>45758</v>
      </c>
      <c r="N249" s="5">
        <f>ROUND(I249*J249*(1-K249),0)</f>
        <v/>
      </c>
    </row>
    <row r="250">
      <c r="A250" t="inlineStr">
        <is>
          <t>T05-250701-096419</t>
        </is>
      </c>
      <c r="B250" s="4" t="n">
        <v>45839</v>
      </c>
      <c r="C250" t="inlineStr">
        <is>
          <t>09:03</t>
        </is>
      </c>
      <c r="D250" t="inlineStr">
        <is>
          <t>Magasin 5 — Kaya Marché</t>
        </is>
      </c>
      <c r="E250" t="inlineStr">
        <is>
          <t>Boureima Ouédraogo</t>
        </is>
      </c>
      <c r="F250" t="n">
        <v>1469</v>
      </c>
      <c r="G250" t="inlineStr">
        <is>
          <t>Lavabo céramique — réf 2</t>
        </is>
      </c>
      <c r="H250" t="inlineStr">
        <is>
          <t>Plomberie</t>
        </is>
      </c>
      <c r="I250" t="n">
        <v>3</v>
      </c>
      <c r="J250" s="5" t="n">
        <v>40150</v>
      </c>
      <c r="K250" s="6" t="n">
        <v>0</v>
      </c>
      <c r="L250" s="5" t="n">
        <v>120450</v>
      </c>
      <c r="M250" s="5" t="n">
        <v>142131</v>
      </c>
      <c r="N250" s="5">
        <f>ROUND(I250*J250*(1-K250),0)</f>
        <v/>
      </c>
    </row>
    <row r="251">
      <c r="A251" t="inlineStr">
        <is>
          <t>T05-250701-096420</t>
        </is>
      </c>
      <c r="B251" s="4" t="n">
        <v>45839</v>
      </c>
      <c r="C251" t="inlineStr">
        <is>
          <t>11:26</t>
        </is>
      </c>
      <c r="D251" t="inlineStr">
        <is>
          <t>Magasin 5 — Kaya Marché</t>
        </is>
      </c>
      <c r="E251" t="inlineStr">
        <is>
          <t>Salamatu Sankara</t>
        </is>
      </c>
      <c r="F251" t="n">
        <v>0</v>
      </c>
      <c r="G251" t="inlineStr">
        <is>
          <t>Lunettes de protection — réf 2</t>
        </is>
      </c>
      <c r="H251" t="inlineStr">
        <is>
          <t>Consommables</t>
        </is>
      </c>
      <c r="I251" t="n">
        <v>9</v>
      </c>
      <c r="J251" s="5" t="n">
        <v>4700</v>
      </c>
      <c r="K251" s="6" t="n">
        <v>0</v>
      </c>
      <c r="L251" s="5" t="n">
        <v>42300</v>
      </c>
      <c r="M251" s="5" t="n">
        <v>49914</v>
      </c>
      <c r="N251" s="5">
        <f>ROUND(I251*J251*(1-K251),0)</f>
        <v/>
      </c>
    </row>
    <row r="252">
      <c r="A252" t="inlineStr">
        <is>
          <t>T05-250701-096420</t>
        </is>
      </c>
      <c r="B252" s="4" t="n">
        <v>45839</v>
      </c>
      <c r="C252" t="inlineStr">
        <is>
          <t>16:13</t>
        </is>
      </c>
      <c r="D252" t="inlineStr">
        <is>
          <t>Magasin 5 — Kaya Marché</t>
        </is>
      </c>
      <c r="E252" t="inlineStr">
        <is>
          <t>Moussa Ilboudo</t>
        </is>
      </c>
      <c r="F252" t="inlineStr"/>
      <c r="G252" t="inlineStr">
        <is>
          <t>Passe-câble étanche — réf 2</t>
        </is>
      </c>
      <c r="H252" t="inlineStr">
        <is>
          <t>Electricité</t>
        </is>
      </c>
      <c r="I252" t="n">
        <v>27</v>
      </c>
      <c r="J252" s="5" t="n">
        <v>16425</v>
      </c>
      <c r="K252" s="6" t="n">
        <v>0</v>
      </c>
      <c r="L252" s="5" t="n">
        <v>443475</v>
      </c>
      <c r="M252" s="5" t="n">
        <v>523301</v>
      </c>
      <c r="N252" s="5">
        <f>ROUND(I252*J252*(1-K252),0)</f>
        <v/>
      </c>
    </row>
    <row r="253">
      <c r="A253" t="inlineStr">
        <is>
          <t>T05-250701-096421</t>
        </is>
      </c>
      <c r="B253" s="4" t="n">
        <v>45839</v>
      </c>
      <c r="C253" t="inlineStr">
        <is>
          <t>13:01</t>
        </is>
      </c>
      <c r="D253" t="inlineStr">
        <is>
          <t>Magasin 5 — Kaya Marché</t>
        </is>
      </c>
      <c r="E253" t="inlineStr">
        <is>
          <t>Boureima Ouédraogo</t>
        </is>
      </c>
      <c r="F253" t="n">
        <v>5037</v>
      </c>
      <c r="G253" t="inlineStr">
        <is>
          <t>Tube PER 16x2 (rouleau) — réf 2</t>
        </is>
      </c>
      <c r="H253" t="inlineStr">
        <is>
          <t>Plomberie</t>
        </is>
      </c>
      <c r="I253" t="n">
        <v>7</v>
      </c>
      <c r="J253" s="5" t="n">
        <v>3350</v>
      </c>
      <c r="K253" s="6" t="n">
        <v>0</v>
      </c>
      <c r="L253" s="5" t="n">
        <v>23450</v>
      </c>
      <c r="M253" s="5" t="n">
        <v>27671</v>
      </c>
      <c r="N253" s="5">
        <f>ROUND(I253*J253*(1-K253),0)</f>
        <v/>
      </c>
    </row>
    <row r="254">
      <c r="A254" t="inlineStr">
        <is>
          <t>T05-250701-096421</t>
        </is>
      </c>
      <c r="B254" s="4" t="n">
        <v>45839</v>
      </c>
      <c r="C254" t="inlineStr">
        <is>
          <t>10:10</t>
        </is>
      </c>
      <c r="D254" t="inlineStr">
        <is>
          <t>Magasin 5 — Kaya Marché</t>
        </is>
      </c>
      <c r="E254" t="inlineStr">
        <is>
          <t>Salamatu Sankara</t>
        </is>
      </c>
      <c r="F254" t="n">
        <v>14644</v>
      </c>
      <c r="G254" t="inlineStr">
        <is>
          <t>Ballon d'eau chaude 50 L — réf 1</t>
        </is>
      </c>
      <c r="H254" t="inlineStr">
        <is>
          <t>Plomberie</t>
        </is>
      </c>
      <c r="I254" t="n">
        <v>3</v>
      </c>
      <c r="J254" s="5" t="n">
        <v>32750</v>
      </c>
      <c r="K254" s="6" t="n">
        <v>0.04</v>
      </c>
      <c r="L254" s="5" t="n">
        <v>94320</v>
      </c>
      <c r="M254" s="5" t="n">
        <v>111298</v>
      </c>
      <c r="N254" s="5">
        <f>ROUND(I254*J254*(1-K254),0)</f>
        <v/>
      </c>
    </row>
    <row r="255">
      <c r="A255" t="inlineStr">
        <is>
          <t>T05-250702-096498</t>
        </is>
      </c>
      <c r="B255" s="4" t="n">
        <v>45840</v>
      </c>
      <c r="C255" t="inlineStr">
        <is>
          <t>11:22</t>
        </is>
      </c>
      <c r="D255" t="inlineStr">
        <is>
          <t>Magasin 5 — Kaya Marché</t>
        </is>
      </c>
      <c r="E255" t="inlineStr">
        <is>
          <t>Moussa Ilboudo</t>
        </is>
      </c>
      <c r="F255" t="n">
        <v>0</v>
      </c>
      <c r="G255" t="inlineStr">
        <is>
          <t>Fil de fer recuit (kg) — réf 2</t>
        </is>
      </c>
      <c r="H255" t="inlineStr">
        <is>
          <t>Quincaillerie</t>
        </is>
      </c>
      <c r="I255" t="n">
        <v>4</v>
      </c>
      <c r="J255" s="5" t="n">
        <v>1975</v>
      </c>
      <c r="K255" s="6" t="n">
        <v>0</v>
      </c>
      <c r="L255" s="5" t="n">
        <v>7900</v>
      </c>
      <c r="M255" s="5" t="n">
        <v>9322</v>
      </c>
      <c r="N255" s="5">
        <f>ROUND(I255*J255*(1-K255),0)</f>
        <v/>
      </c>
    </row>
    <row r="256">
      <c r="A256" t="inlineStr">
        <is>
          <t>T05-250702-096498</t>
        </is>
      </c>
      <c r="B256" s="4" t="n">
        <v>45840</v>
      </c>
      <c r="C256" t="inlineStr">
        <is>
          <t>08:40</t>
        </is>
      </c>
      <c r="D256" t="inlineStr">
        <is>
          <t>Magasin 5 — Kaya Marché</t>
        </is>
      </c>
      <c r="E256" t="inlineStr">
        <is>
          <t>Boureima Ouédraogo</t>
        </is>
      </c>
      <c r="F256" t="n">
        <v>20454</v>
      </c>
      <c r="G256" t="inlineStr">
        <is>
          <t>Enduit de rebouchage 5 kg — réf 2</t>
        </is>
      </c>
      <c r="H256" t="inlineStr">
        <is>
          <t>Peinture</t>
        </is>
      </c>
      <c r="I256" t="n">
        <v>18</v>
      </c>
      <c r="J256" s="5" t="n">
        <v>4725</v>
      </c>
      <c r="K256" s="6" t="n">
        <v>0.04</v>
      </c>
      <c r="L256" s="5" t="n">
        <v>81648</v>
      </c>
      <c r="M256" s="5" t="n">
        <v>96345</v>
      </c>
      <c r="N256" s="5">
        <f>ROUND(I256*J256*(1-K256),0)</f>
        <v/>
      </c>
    </row>
    <row r="257">
      <c r="A257" t="inlineStr">
        <is>
          <t>T05-250702-096498</t>
        </is>
      </c>
      <c r="B257" s="4" t="n">
        <v>45840</v>
      </c>
      <c r="C257" t="inlineStr">
        <is>
          <t>07:15</t>
        </is>
      </c>
      <c r="D257" t="inlineStr">
        <is>
          <t>Magasin 5 — Kaya Marché</t>
        </is>
      </c>
      <c r="E257" t="inlineStr">
        <is>
          <t>Salamatu Sankara</t>
        </is>
      </c>
      <c r="F257" t="n">
        <v>6878</v>
      </c>
      <c r="G257" t="inlineStr">
        <is>
          <t>Tout-venant (m3) — réf 2</t>
        </is>
      </c>
      <c r="H257" t="inlineStr">
        <is>
          <t>Matériaux</t>
        </is>
      </c>
      <c r="I257" t="n">
        <v>3</v>
      </c>
      <c r="J257" s="5" t="n">
        <v>23475</v>
      </c>
      <c r="K257" s="6" t="n">
        <v>0.04</v>
      </c>
      <c r="L257" s="5" t="n">
        <v>67608</v>
      </c>
      <c r="M257" s="5" t="n">
        <v>79777</v>
      </c>
      <c r="N257" s="5">
        <f>ROUND(I257*J257*(1-K257),0)</f>
        <v/>
      </c>
    </row>
    <row r="258">
      <c r="A258" t="inlineStr">
        <is>
          <t>T05-250702-096499</t>
        </is>
      </c>
      <c r="B258" s="4" t="n">
        <v>45840</v>
      </c>
      <c r="C258" t="inlineStr">
        <is>
          <t>08:21</t>
        </is>
      </c>
      <c r="D258" t="inlineStr">
        <is>
          <t>Magasin 5 — Kaya Marché</t>
        </is>
      </c>
      <c r="E258" t="inlineStr">
        <is>
          <t>Adama Bationo</t>
        </is>
      </c>
      <c r="F258" t="n">
        <v>6419</v>
      </c>
      <c r="G258" t="inlineStr">
        <is>
          <t>Gravier 15/25 (m3) — réf 2</t>
        </is>
      </c>
      <c r="H258" t="inlineStr">
        <is>
          <t>Matériaux</t>
        </is>
      </c>
      <c r="I258" t="n">
        <v>5</v>
      </c>
      <c r="J258" s="5" t="n">
        <v>21425</v>
      </c>
      <c r="K258" s="6" t="n">
        <v>0.08</v>
      </c>
      <c r="L258" s="5" t="n">
        <v>98555</v>
      </c>
      <c r="M258" s="5" t="n">
        <v>116295</v>
      </c>
      <c r="N258" s="5">
        <f>ROUND(I258*J258*(1-K258),0)</f>
        <v/>
      </c>
    </row>
    <row r="259">
      <c r="A259" t="inlineStr">
        <is>
          <t>T05-250702-096499</t>
        </is>
      </c>
      <c r="B259" s="4" t="n">
        <v>45840</v>
      </c>
      <c r="C259" t="inlineStr">
        <is>
          <t>13:35</t>
        </is>
      </c>
      <c r="D259" t="inlineStr">
        <is>
          <t>Magasin 5 — Kaya Marché</t>
        </is>
      </c>
      <c r="E259" t="inlineStr">
        <is>
          <t>Moussa Ilboudo</t>
        </is>
      </c>
      <c r="F259" t="n">
        <v>5767</v>
      </c>
      <c r="G259" t="inlineStr">
        <is>
          <t>Fer à béton 8 mm (barre) — réf 1</t>
        </is>
      </c>
      <c r="H259" t="inlineStr">
        <is>
          <t>Quincaillerie</t>
        </is>
      </c>
      <c r="I259" t="n">
        <v>1</v>
      </c>
      <c r="J259" s="5" t="n">
        <v>1525</v>
      </c>
      <c r="K259" s="6" t="n">
        <v>0</v>
      </c>
      <c r="L259" s="5" t="n">
        <v>1525</v>
      </c>
      <c r="M259" s="5" t="n">
        <v>1799</v>
      </c>
      <c r="N259" s="5">
        <f>ROUND(I259*J259*(1-K259),0)</f>
        <v/>
      </c>
    </row>
    <row r="260">
      <c r="A260" t="inlineStr">
        <is>
          <t>T05-250702-096499</t>
        </is>
      </c>
      <c r="B260" s="4" t="n">
        <v>45840</v>
      </c>
      <c r="C260" t="inlineStr">
        <is>
          <t>08:48</t>
        </is>
      </c>
      <c r="D260" t="inlineStr">
        <is>
          <t>Magasin 5 — Kaya Marché</t>
        </is>
      </c>
      <c r="E260" t="inlineStr">
        <is>
          <t>Salamatu Sankara</t>
        </is>
      </c>
      <c r="F260" t="n">
        <v>0</v>
      </c>
      <c r="G260" t="inlineStr">
        <is>
          <t>Marteau de menuisier — réf 1</t>
        </is>
      </c>
      <c r="H260" t="inlineStr">
        <is>
          <t>Quincaillerie</t>
        </is>
      </c>
      <c r="I260" t="n">
        <v>3</v>
      </c>
      <c r="J260" s="5" t="n">
        <v>9375</v>
      </c>
      <c r="K260" s="6" t="n">
        <v>0</v>
      </c>
      <c r="L260" s="5" t="n">
        <v>28125</v>
      </c>
      <c r="M260" s="5" t="n">
        <v>33187</v>
      </c>
      <c r="N260" s="5">
        <f>ROUND(I260*J260*(1-K260),0)</f>
        <v/>
      </c>
    </row>
    <row r="261">
      <c r="A261" t="inlineStr">
        <is>
          <t>T05-250702-096500</t>
        </is>
      </c>
      <c r="B261" s="4" t="n">
        <v>45840</v>
      </c>
      <c r="C261" t="inlineStr">
        <is>
          <t>13:32</t>
        </is>
      </c>
      <c r="D261" t="inlineStr">
        <is>
          <t>Magasin 5 — Kaya Marché</t>
        </is>
      </c>
      <c r="E261" t="inlineStr">
        <is>
          <t>Adama Bationo</t>
        </is>
      </c>
      <c r="F261" t="n">
        <v>10406</v>
      </c>
      <c r="G261" t="inlineStr">
        <is>
          <t>Antirouille rouge brique 1 L — réf 2</t>
        </is>
      </c>
      <c r="H261" t="inlineStr">
        <is>
          <t>Peinture</t>
        </is>
      </c>
      <c r="I261" t="n">
        <v>13</v>
      </c>
      <c r="J261" s="5" t="n">
        <v>6900</v>
      </c>
      <c r="K261" s="6" t="n">
        <v>0.11</v>
      </c>
      <c r="L261" s="5" t="n">
        <v>79833</v>
      </c>
      <c r="M261" s="5" t="n">
        <v>94203</v>
      </c>
      <c r="N261" s="5">
        <f>ROUND(I261*J261*(1-K261),0)</f>
        <v/>
      </c>
    </row>
    <row r="262">
      <c r="A262" t="inlineStr">
        <is>
          <t>T05-250702-096500</t>
        </is>
      </c>
      <c r="B262" s="4" t="n">
        <v>45840</v>
      </c>
      <c r="C262" t="inlineStr">
        <is>
          <t>17:25</t>
        </is>
      </c>
      <c r="D262" t="inlineStr">
        <is>
          <t>Magasin 5 — Kaya Marché</t>
        </is>
      </c>
      <c r="E262" t="inlineStr">
        <is>
          <t>Salamatu Sankara</t>
        </is>
      </c>
      <c r="F262" t="n">
        <v>16310</v>
      </c>
      <c r="G262" t="inlineStr">
        <is>
          <t>Niveau à bulle 600 mm — réf 1</t>
        </is>
      </c>
      <c r="H262" t="inlineStr">
        <is>
          <t>Quincaillerie</t>
        </is>
      </c>
      <c r="I262" t="n">
        <v>3</v>
      </c>
      <c r="J262" s="5" t="n">
        <v>9275</v>
      </c>
      <c r="K262" s="6" t="n">
        <v>0</v>
      </c>
      <c r="L262" s="5" t="n">
        <v>27825</v>
      </c>
      <c r="M262" s="5" t="n">
        <v>32833</v>
      </c>
      <c r="N262" s="5">
        <f>ROUND(I262*J262*(1-K262),0)</f>
        <v/>
      </c>
    </row>
    <row r="263">
      <c r="A263" t="inlineStr">
        <is>
          <t>T05-250702-096500</t>
        </is>
      </c>
      <c r="B263" s="4" t="n">
        <v>45840</v>
      </c>
      <c r="C263" t="inlineStr">
        <is>
          <t>12:02</t>
        </is>
      </c>
      <c r="D263" t="inlineStr">
        <is>
          <t>Magasin 5 — Kaya Marché</t>
        </is>
      </c>
      <c r="E263" t="inlineStr">
        <is>
          <t>Adama Bationo</t>
        </is>
      </c>
      <c r="F263" t="n">
        <v>17715</v>
      </c>
      <c r="G263" t="inlineStr">
        <is>
          <t>Câble 2x1,5 (rouleau 100 m) — réf 2</t>
        </is>
      </c>
      <c r="H263" t="inlineStr">
        <is>
          <t>Electricité</t>
        </is>
      </c>
      <c r="I263" t="n">
        <v>2</v>
      </c>
      <c r="J263" s="5" t="n">
        <v>9725</v>
      </c>
      <c r="K263" s="6" t="n">
        <v>0.11</v>
      </c>
      <c r="L263" s="5" t="n">
        <v>17310</v>
      </c>
      <c r="M263" s="5" t="n">
        <v>20426</v>
      </c>
      <c r="N263" s="5">
        <f>ROUND(I263*J263*(1-K263),0)</f>
        <v/>
      </c>
    </row>
    <row r="264">
      <c r="A264" t="inlineStr">
        <is>
          <t>T05-250702-096501</t>
        </is>
      </c>
      <c r="B264" s="4" t="n">
        <v>45840</v>
      </c>
      <c r="C264" t="inlineStr">
        <is>
          <t>14:12</t>
        </is>
      </c>
      <c r="D264" t="inlineStr">
        <is>
          <t>Magasin 5 — Kaya Marché</t>
        </is>
      </c>
      <c r="E264" t="inlineStr">
        <is>
          <t>Salamatu Sankara</t>
        </is>
      </c>
      <c r="F264" t="n">
        <v>16142</v>
      </c>
      <c r="G264" t="inlineStr">
        <is>
          <t>Tube PVC évacuation 100 mm (ml) — réf 2</t>
        </is>
      </c>
      <c r="H264" t="inlineStr">
        <is>
          <t>Plomberie</t>
        </is>
      </c>
      <c r="I264" t="n">
        <v>3</v>
      </c>
      <c r="J264" s="5" t="n">
        <v>3825</v>
      </c>
      <c r="K264" s="6" t="n">
        <v>0</v>
      </c>
      <c r="L264" s="5" t="n">
        <v>11475</v>
      </c>
      <c r="M264" s="5" t="n">
        <v>13541</v>
      </c>
      <c r="N264" s="5">
        <f>ROUND(I264*J264*(1-K264),0)</f>
        <v/>
      </c>
    </row>
    <row r="265">
      <c r="A265" t="inlineStr">
        <is>
          <t>T05-250702-096501</t>
        </is>
      </c>
      <c r="B265" s="4" t="n">
        <v>45840</v>
      </c>
      <c r="C265" t="inlineStr">
        <is>
          <t>07:18</t>
        </is>
      </c>
      <c r="D265" t="inlineStr">
        <is>
          <t>Magasin 5 — Kaya Marché</t>
        </is>
      </c>
      <c r="E265" t="inlineStr">
        <is>
          <t>Moussa Ilboudo</t>
        </is>
      </c>
      <c r="F265" t="n">
        <v>14952</v>
      </c>
      <c r="G265" t="inlineStr">
        <is>
          <t>Brique de terre cuite — réf 1</t>
        </is>
      </c>
      <c r="H265" t="inlineStr">
        <is>
          <t>Matériaux</t>
        </is>
      </c>
      <c r="I265" t="n">
        <v>14</v>
      </c>
      <c r="J265" s="5" t="n">
        <v>1075</v>
      </c>
      <c r="K265" s="6" t="n">
        <v>0.04</v>
      </c>
      <c r="L265" s="5" t="n">
        <v>14448</v>
      </c>
      <c r="M265" s="5" t="n">
        <v>17049</v>
      </c>
      <c r="N265" s="5">
        <f>ROUND(I265*J265*(1-K265),0)</f>
        <v/>
      </c>
    </row>
    <row r="266">
      <c r="A266" t="inlineStr">
        <is>
          <t>T05-250702-096501</t>
        </is>
      </c>
      <c r="B266" s="4" t="n">
        <v>45840</v>
      </c>
      <c r="C266" t="inlineStr">
        <is>
          <t>07:15</t>
        </is>
      </c>
      <c r="D266" t="inlineStr">
        <is>
          <t>Magasin 5 — Kaya Marché</t>
        </is>
      </c>
      <c r="E266" t="inlineStr">
        <is>
          <t>Adama Bationo</t>
        </is>
      </c>
      <c r="F266" t="n">
        <v>10589</v>
      </c>
      <c r="G266" t="inlineStr">
        <is>
          <t>Pince coupante 200 mm — réf 2</t>
        </is>
      </c>
      <c r="H266" t="inlineStr">
        <is>
          <t>Quincaillerie</t>
        </is>
      </c>
      <c r="I266" t="n">
        <v>6</v>
      </c>
      <c r="J266" s="5" t="n">
        <v>10200</v>
      </c>
      <c r="K266" s="6" t="n">
        <v>0</v>
      </c>
      <c r="L266" s="5" t="n">
        <v>61200</v>
      </c>
      <c r="M266" s="5" t="n">
        <v>72216</v>
      </c>
      <c r="N266" s="5">
        <f>ROUND(I266*J266*(1-K266),0)</f>
        <v/>
      </c>
    </row>
    <row r="267">
      <c r="A267" t="inlineStr">
        <is>
          <t>T05-250702-096502</t>
        </is>
      </c>
      <c r="B267" s="4" t="n">
        <v>45840</v>
      </c>
      <c r="C267" t="inlineStr">
        <is>
          <t>16:34</t>
        </is>
      </c>
      <c r="D267" t="inlineStr">
        <is>
          <t>Magasin 5 — Kaya Marché</t>
        </is>
      </c>
      <c r="E267" t="inlineStr">
        <is>
          <t>Boureima Ouédraogo</t>
        </is>
      </c>
      <c r="F267" t="n">
        <v>10989</v>
      </c>
      <c r="G267" t="inlineStr">
        <is>
          <t>Hourdis creux 12 — réf 1</t>
        </is>
      </c>
      <c r="H267" t="inlineStr">
        <is>
          <t>Matériaux</t>
        </is>
      </c>
      <c r="I267" t="n">
        <v>5</v>
      </c>
      <c r="J267" s="5" t="n">
        <v>1075</v>
      </c>
      <c r="K267" s="6" t="n">
        <v>0</v>
      </c>
      <c r="L267" s="5" t="n">
        <v>5375</v>
      </c>
      <c r="M267" s="5" t="n">
        <v>6343</v>
      </c>
      <c r="N267" s="5">
        <f>ROUND(I267*J267*(1-K267),0)</f>
        <v/>
      </c>
    </row>
    <row r="268">
      <c r="A268" t="inlineStr">
        <is>
          <t>T05-250702-096502</t>
        </is>
      </c>
      <c r="B268" s="4" t="n">
        <v>45840</v>
      </c>
      <c r="C268" t="inlineStr">
        <is>
          <t>14:09</t>
        </is>
      </c>
      <c r="D268" t="inlineStr">
        <is>
          <t>Magasin 5 — Kaya Marché</t>
        </is>
      </c>
      <c r="E268" t="inlineStr">
        <is>
          <t>Moussa Ilboudo</t>
        </is>
      </c>
      <c r="F268" t="n">
        <v>3371</v>
      </c>
      <c r="G268" t="inlineStr">
        <is>
          <t>Écrou hexagonal 10 (sachet) — réf 2</t>
        </is>
      </c>
      <c r="H268" t="inlineStr">
        <is>
          <t>Quincaillerie</t>
        </is>
      </c>
      <c r="I268" t="n">
        <v>19</v>
      </c>
      <c r="J268" s="5" t="n">
        <v>2150</v>
      </c>
      <c r="K268" s="6" t="n">
        <v>0</v>
      </c>
      <c r="L268" s="5" t="n">
        <v>40850</v>
      </c>
      <c r="M268" s="5" t="n">
        <v>48203</v>
      </c>
      <c r="N268" s="5">
        <f>ROUND(I268*J268*(1-K268),0)</f>
        <v/>
      </c>
    </row>
    <row r="269">
      <c r="A269" t="inlineStr">
        <is>
          <t>T05-250702-096502</t>
        </is>
      </c>
      <c r="B269" s="4" t="n">
        <v>45840</v>
      </c>
      <c r="C269" t="inlineStr">
        <is>
          <t>15:09</t>
        </is>
      </c>
      <c r="D269" t="inlineStr">
        <is>
          <t>Magasin 5 — Kaya Marché</t>
        </is>
      </c>
      <c r="E269" t="inlineStr">
        <is>
          <t>Boureima Ouédraogo</t>
        </is>
      </c>
      <c r="F269" t="n">
        <v>10564</v>
      </c>
      <c r="G269" t="inlineStr">
        <is>
          <t>Baguette de finition 2,4 m — réf 2</t>
        </is>
      </c>
      <c r="H269" t="inlineStr">
        <is>
          <t>Bois &amp; panneaux</t>
        </is>
      </c>
      <c r="I269" t="n">
        <v>8</v>
      </c>
      <c r="J269" s="5" t="n">
        <v>14600</v>
      </c>
      <c r="K269" s="6" t="n">
        <v>0</v>
      </c>
      <c r="L269" s="5" t="n">
        <v>116800</v>
      </c>
      <c r="M269" s="5" t="n">
        <v>137824</v>
      </c>
      <c r="N269" s="5">
        <f>ROUND(I269*J269*(1-K269),0)</f>
        <v/>
      </c>
    </row>
    <row r="270">
      <c r="A270" t="inlineStr">
        <is>
          <t>T05-250702-096503</t>
        </is>
      </c>
      <c r="B270" s="4" t="n">
        <v>45840</v>
      </c>
      <c r="C270" t="inlineStr">
        <is>
          <t>11:48</t>
        </is>
      </c>
      <c r="D270" t="inlineStr">
        <is>
          <t>Magasin 5 — Kaya Marché</t>
        </is>
      </c>
      <c r="E270" t="inlineStr">
        <is>
          <t>Boureima Ouédraogo</t>
        </is>
      </c>
      <c r="F270" t="n">
        <v>2526</v>
      </c>
      <c r="G270" t="inlineStr">
        <is>
          <t>Marteau de menuisier — réf 1</t>
        </is>
      </c>
      <c r="H270" t="inlineStr">
        <is>
          <t>Quincaillerie</t>
        </is>
      </c>
      <c r="I270" t="n">
        <v>1</v>
      </c>
      <c r="J270" s="5" t="n">
        <v>9475</v>
      </c>
      <c r="K270" s="6" t="n">
        <v>0</v>
      </c>
      <c r="L270" s="5" t="n">
        <v>9475</v>
      </c>
      <c r="M270" s="5" t="n">
        <v>11181</v>
      </c>
      <c r="N270" s="5">
        <f>ROUND(I270*J270*(1-K270),0)</f>
        <v/>
      </c>
    </row>
    <row r="271">
      <c r="A271" t="inlineStr">
        <is>
          <t>T05-250702-096503</t>
        </is>
      </c>
      <c r="B271" s="4" t="n">
        <v>45840</v>
      </c>
      <c r="C271" t="inlineStr">
        <is>
          <t>08:54</t>
        </is>
      </c>
      <c r="D271" t="inlineStr">
        <is>
          <t>Magasin 5 — Kaya Marché</t>
        </is>
      </c>
      <c r="E271" t="inlineStr">
        <is>
          <t>Adama Bationo</t>
        </is>
      </c>
      <c r="F271" t="n">
        <v>18276</v>
      </c>
      <c r="G271" t="inlineStr">
        <is>
          <t>Scie égoïne 500 mm — réf 1</t>
        </is>
      </c>
      <c r="H271" t="inlineStr">
        <is>
          <t>Quincaillerie</t>
        </is>
      </c>
      <c r="I271" t="n">
        <v>1</v>
      </c>
      <c r="J271" s="5" t="n">
        <v>10900</v>
      </c>
      <c r="K271" s="6" t="n">
        <v>0</v>
      </c>
      <c r="L271" s="5" t="n">
        <v>10900</v>
      </c>
      <c r="M271" s="5" t="n">
        <v>12862</v>
      </c>
      <c r="N271" s="5">
        <f>ROUND(I271*J271*(1-K271),0)</f>
        <v/>
      </c>
    </row>
    <row r="272">
      <c r="A272" t="inlineStr">
        <is>
          <t>T05-250702-096503</t>
        </is>
      </c>
      <c r="B272" s="4" t="n">
        <v>45840</v>
      </c>
      <c r="C272" t="inlineStr">
        <is>
          <t>07:05</t>
        </is>
      </c>
      <c r="D272" t="inlineStr">
        <is>
          <t>Magasin 5 — Kaya Marché</t>
        </is>
      </c>
      <c r="E272" t="inlineStr">
        <is>
          <t>Boureima Ouédraogo</t>
        </is>
      </c>
      <c r="F272" t="n">
        <v>0</v>
      </c>
      <c r="G272" t="inlineStr">
        <is>
          <t>Carreau de pavement 40x40 — réf 1</t>
        </is>
      </c>
      <c r="H272" t="inlineStr">
        <is>
          <t>Matériaux</t>
        </is>
      </c>
      <c r="I272" t="n">
        <v>3</v>
      </c>
      <c r="J272" s="5" t="n">
        <v>1025</v>
      </c>
      <c r="K272" s="6" t="n">
        <v>0</v>
      </c>
      <c r="L272" s="5" t="n">
        <v>3075</v>
      </c>
      <c r="M272" s="5" t="n">
        <v>3629</v>
      </c>
      <c r="N272" s="5">
        <f>ROUND(I272*J272*(1-K272),0)</f>
        <v/>
      </c>
    </row>
    <row r="273">
      <c r="A273" t="inlineStr">
        <is>
          <t>T05-250702-096504</t>
        </is>
      </c>
      <c r="B273" s="4" t="n">
        <v>45840</v>
      </c>
      <c r="C273" t="inlineStr">
        <is>
          <t>14:36</t>
        </is>
      </c>
      <c r="D273" t="inlineStr">
        <is>
          <t>Magasin 5 — Kaya Marché</t>
        </is>
      </c>
      <c r="E273" t="inlineStr">
        <is>
          <t>Adama Bationo</t>
        </is>
      </c>
      <c r="F273" t="n">
        <v>3825</v>
      </c>
      <c r="G273" t="inlineStr">
        <is>
          <t>Fil de fer recuit (kg) — réf 2</t>
        </is>
      </c>
      <c r="H273" t="inlineStr">
        <is>
          <t>Quincaillerie</t>
        </is>
      </c>
      <c r="I273" t="n">
        <v>4</v>
      </c>
      <c r="J273" s="5" t="n">
        <v>2000</v>
      </c>
      <c r="K273" s="6" t="n">
        <v>0</v>
      </c>
      <c r="L273" s="5" t="n">
        <v>8000</v>
      </c>
      <c r="M273" s="5" t="n">
        <v>9440</v>
      </c>
      <c r="N273" s="5">
        <f>ROUND(I273*J273*(1-K273),0)</f>
        <v/>
      </c>
    </row>
    <row r="274">
      <c r="A274" t="inlineStr">
        <is>
          <t>T05-250702-096504</t>
        </is>
      </c>
      <c r="B274" s="4" t="n">
        <v>45840</v>
      </c>
      <c r="C274" t="inlineStr">
        <is>
          <t>14:58</t>
        </is>
      </c>
      <c r="D274" t="inlineStr">
        <is>
          <t>Magasin 5 — Kaya Marché</t>
        </is>
      </c>
      <c r="E274" t="inlineStr">
        <is>
          <t>Adama Bationo</t>
        </is>
      </c>
      <c r="F274" t="n">
        <v>18844</v>
      </c>
      <c r="G274" t="inlineStr">
        <is>
          <t>Parpaing 15 aggloméré — réf 2</t>
        </is>
      </c>
      <c r="H274" t="inlineStr">
        <is>
          <t>Matériaux</t>
        </is>
      </c>
      <c r="I274" t="n">
        <v>9</v>
      </c>
      <c r="J274" s="5" t="n">
        <v>1400</v>
      </c>
      <c r="K274" s="6" t="n">
        <v>0.08</v>
      </c>
      <c r="L274" s="5" t="n">
        <v>11592</v>
      </c>
      <c r="M274" s="5" t="n">
        <v>13679</v>
      </c>
      <c r="N274" s="5">
        <f>ROUND(I274*J274*(1-K274),0)</f>
        <v/>
      </c>
    </row>
    <row r="275">
      <c r="A275" t="inlineStr">
        <is>
          <t>T05-250703-096584</t>
        </is>
      </c>
      <c r="B275" s="4" t="n">
        <v>45841</v>
      </c>
      <c r="C275" t="inlineStr">
        <is>
          <t>14:56</t>
        </is>
      </c>
      <c r="D275" t="inlineStr">
        <is>
          <t>Magasin 5 — Kaya Marché</t>
        </is>
      </c>
      <c r="E275" t="inlineStr">
        <is>
          <t>Salamatu Sankara</t>
        </is>
      </c>
      <c r="F275" t="n">
        <v>16979</v>
      </c>
      <c r="G275" t="inlineStr">
        <is>
          <t>Robinet mitigeur évier — réf 2</t>
        </is>
      </c>
      <c r="H275" t="inlineStr">
        <is>
          <t>Plomberie</t>
        </is>
      </c>
      <c r="I275" t="n">
        <v>9</v>
      </c>
      <c r="J275" s="5" t="n">
        <v>36275</v>
      </c>
      <c r="K275" s="6" t="n">
        <v>0.04</v>
      </c>
      <c r="L275" s="5" t="n">
        <v>313416</v>
      </c>
      <c r="M275" s="5" t="n">
        <v>369831</v>
      </c>
      <c r="N275" s="5">
        <f>ROUND(I275*J275*(1-K275),0)</f>
        <v/>
      </c>
    </row>
    <row r="276">
      <c r="A276" t="inlineStr">
        <is>
          <t>T05-250703-096584</t>
        </is>
      </c>
      <c r="B276" s="4" t="n">
        <v>45841</v>
      </c>
      <c r="C276" t="inlineStr">
        <is>
          <t>17:47</t>
        </is>
      </c>
      <c r="D276" t="inlineStr">
        <is>
          <t>Magasin 5 — Kaya Marché</t>
        </is>
      </c>
      <c r="E276" t="inlineStr">
        <is>
          <t>Boureima Ouédraogo</t>
        </is>
      </c>
      <c r="F276" t="n">
        <v>0</v>
      </c>
      <c r="G276" t="inlineStr">
        <is>
          <t>Antirouille rouge brique 1 L — réf 1</t>
        </is>
      </c>
      <c r="H276" t="inlineStr">
        <is>
          <t>Peinture</t>
        </is>
      </c>
      <c r="I276" t="n">
        <v>20</v>
      </c>
      <c r="J276" s="5" t="n">
        <v>5250</v>
      </c>
      <c r="K276" s="6" t="n">
        <v>0</v>
      </c>
      <c r="L276" s="5" t="n">
        <v>105000</v>
      </c>
      <c r="M276" s="5" t="n">
        <v>123900</v>
      </c>
      <c r="N276" s="5">
        <f>ROUND(I276*J276*(1-K276),0)</f>
        <v/>
      </c>
    </row>
    <row r="277">
      <c r="A277" t="inlineStr">
        <is>
          <t>T05-250703-096584</t>
        </is>
      </c>
      <c r="B277" s="4" t="n">
        <v>45841</v>
      </c>
      <c r="C277" t="inlineStr">
        <is>
          <t>10:58</t>
        </is>
      </c>
      <c r="D277" t="inlineStr">
        <is>
          <t>Magasin 5 — Kaya Marché</t>
        </is>
      </c>
      <c r="E277" t="inlineStr">
        <is>
          <t>Boureima Ouédraogo</t>
        </is>
      </c>
      <c r="F277" t="n">
        <v>1117</v>
      </c>
      <c r="G277" t="inlineStr">
        <is>
          <t>Projecteur LED 30 W — réf 1</t>
        </is>
      </c>
      <c r="H277" t="inlineStr">
        <is>
          <t>Electricité</t>
        </is>
      </c>
      <c r="I277" t="n">
        <v>3</v>
      </c>
      <c r="J277" s="5" t="n">
        <v>9500</v>
      </c>
      <c r="K277" s="6" t="n">
        <v>0.04</v>
      </c>
      <c r="L277" s="5" t="n">
        <v>27360</v>
      </c>
      <c r="M277" s="5" t="n">
        <v>32285</v>
      </c>
      <c r="N277" s="5">
        <f>ROUND(I277*J277*(1-K277),0)</f>
        <v/>
      </c>
    </row>
    <row r="278">
      <c r="A278" t="inlineStr">
        <is>
          <t>T05-250703-096585</t>
        </is>
      </c>
      <c r="B278" s="4" t="n">
        <v>45841</v>
      </c>
      <c r="C278" t="inlineStr">
        <is>
          <t>18:13</t>
        </is>
      </c>
      <c r="D278" t="inlineStr">
        <is>
          <t>Magasin 5 — Kaya Marché</t>
        </is>
      </c>
      <c r="E278" t="inlineStr">
        <is>
          <t>Salamatu Sankara</t>
        </is>
      </c>
      <c r="F278" t="n">
        <v>21035</v>
      </c>
      <c r="G278" t="inlineStr">
        <is>
          <t>Fil de fer recuit (kg) — réf 1</t>
        </is>
      </c>
      <c r="H278" t="inlineStr">
        <is>
          <t>Quincaillerie</t>
        </is>
      </c>
      <c r="I278" t="n">
        <v>3</v>
      </c>
      <c r="J278" s="5" t="n">
        <v>1600</v>
      </c>
      <c r="K278" s="6" t="n">
        <v>0.04</v>
      </c>
      <c r="L278" s="5" t="n">
        <v>4608</v>
      </c>
      <c r="M278" s="5" t="n">
        <v>5437</v>
      </c>
      <c r="N278" s="5">
        <f>ROUND(I278*J278*(1-K278),0)</f>
        <v/>
      </c>
    </row>
    <row r="279">
      <c r="A279" t="inlineStr">
        <is>
          <t>T05-250703-096585</t>
        </is>
      </c>
      <c r="B279" s="4" t="n">
        <v>45841</v>
      </c>
      <c r="C279" t="inlineStr">
        <is>
          <t>13:34</t>
        </is>
      </c>
      <c r="D279" t="inlineStr">
        <is>
          <t>Magasin 5 — Kaya Marché</t>
        </is>
      </c>
      <c r="E279" t="inlineStr">
        <is>
          <t>Moussa Ilboudo</t>
        </is>
      </c>
      <c r="F279" t="n">
        <v>0</v>
      </c>
      <c r="G279" t="inlineStr">
        <is>
          <t>Échelle aluminium 4 marches — réf 2</t>
        </is>
      </c>
      <c r="H279" t="inlineStr">
        <is>
          <t>Consommables</t>
        </is>
      </c>
      <c r="I279" t="n">
        <v>6</v>
      </c>
      <c r="J279" s="5" t="n">
        <v>8650</v>
      </c>
      <c r="K279" s="6" t="n">
        <v>0</v>
      </c>
      <c r="L279" s="5" t="n">
        <v>51900</v>
      </c>
      <c r="M279" s="5" t="n">
        <v>61242</v>
      </c>
      <c r="N279" s="5">
        <f>ROUND(I279*J279*(1-K279),0)</f>
        <v/>
      </c>
    </row>
    <row r="280">
      <c r="A280" t="inlineStr">
        <is>
          <t>T05-250703-096585</t>
        </is>
      </c>
      <c r="B280" s="4" t="n">
        <v>45841</v>
      </c>
      <c r="C280" t="inlineStr">
        <is>
          <t>18:50</t>
        </is>
      </c>
      <c r="D280" t="inlineStr">
        <is>
          <t>Magasin 5 — Kaya Marché</t>
        </is>
      </c>
      <c r="E280" t="inlineStr">
        <is>
          <t>Salamatu Sankara</t>
        </is>
      </c>
      <c r="F280" t="n">
        <v>17623</v>
      </c>
      <c r="G280" t="inlineStr">
        <is>
          <t>Clé plate 13 — réf 1</t>
        </is>
      </c>
      <c r="H280" t="inlineStr">
        <is>
          <t>Quincaillerie</t>
        </is>
      </c>
      <c r="I280" t="n">
        <v>5</v>
      </c>
      <c r="J280" s="5" t="n">
        <v>9875</v>
      </c>
      <c r="K280" s="6" t="n">
        <v>0</v>
      </c>
      <c r="L280" s="5" t="n">
        <v>49375</v>
      </c>
      <c r="M280" s="5" t="n">
        <v>58263</v>
      </c>
      <c r="N280" s="5">
        <f>ROUND(I280*J280*(1-K280),0)</f>
        <v/>
      </c>
    </row>
    <row r="281">
      <c r="A281" t="inlineStr">
        <is>
          <t>T05-250703-096586</t>
        </is>
      </c>
      <c r="B281" s="4" t="n">
        <v>45841</v>
      </c>
      <c r="C281" t="inlineStr">
        <is>
          <t>17:31</t>
        </is>
      </c>
      <c r="D281" t="inlineStr">
        <is>
          <t>Magasin 5 — Kaya Marché</t>
        </is>
      </c>
      <c r="E281" t="inlineStr">
        <is>
          <t>Salamatu Sankara</t>
        </is>
      </c>
      <c r="F281" t="n">
        <v>17994</v>
      </c>
      <c r="G281" t="inlineStr">
        <is>
          <t>Sable de rivière (m3) — réf 2</t>
        </is>
      </c>
      <c r="H281" t="inlineStr">
        <is>
          <t>Matériaux</t>
        </is>
      </c>
      <c r="I281" t="n">
        <v>2</v>
      </c>
      <c r="J281" s="5" t="n">
        <v>26625</v>
      </c>
      <c r="K281" s="6" t="n">
        <v>0.07000000000000001</v>
      </c>
      <c r="L281" s="5" t="n">
        <v>49522</v>
      </c>
      <c r="M281" s="5" t="n">
        <v>58436</v>
      </c>
      <c r="N281" s="5">
        <f>ROUND(I281*J281*(1-K281),0)</f>
        <v/>
      </c>
    </row>
    <row r="282">
      <c r="A282" t="inlineStr">
        <is>
          <t>T05-250801-099076</t>
        </is>
      </c>
      <c r="B282" s="4" t="n">
        <v>45870</v>
      </c>
      <c r="C282" t="inlineStr">
        <is>
          <t>18:20</t>
        </is>
      </c>
      <c r="D282" t="inlineStr">
        <is>
          <t>Magasin 5 — Kaya Marché</t>
        </is>
      </c>
      <c r="E282" t="inlineStr">
        <is>
          <t>Boureima Ouédraogo</t>
        </is>
      </c>
      <c r="F282" t="n">
        <v>0</v>
      </c>
      <c r="G282" t="inlineStr">
        <is>
          <t>Parpaing 15 aggloméré — réf 1</t>
        </is>
      </c>
      <c r="H282" t="inlineStr">
        <is>
          <t>Matériaux</t>
        </is>
      </c>
      <c r="I282" t="n">
        <v>14</v>
      </c>
      <c r="J282" s="5" t="n">
        <v>1450</v>
      </c>
      <c r="K282" s="6" t="n">
        <v>0</v>
      </c>
      <c r="L282" s="5" t="n">
        <v>20300</v>
      </c>
      <c r="M282" s="5" t="n">
        <v>23954</v>
      </c>
      <c r="N282" s="5">
        <f>ROUND(I282*J282*(1-K282),0)</f>
        <v/>
      </c>
    </row>
    <row r="283">
      <c r="A283" t="inlineStr">
        <is>
          <t>T05-250801-099077</t>
        </is>
      </c>
      <c r="B283" s="4" t="n">
        <v>45870</v>
      </c>
      <c r="C283" t="inlineStr">
        <is>
          <t>12:36</t>
        </is>
      </c>
      <c r="D283" t="inlineStr">
        <is>
          <t>Magasin 5 — Kaya Marché</t>
        </is>
      </c>
      <c r="E283" t="inlineStr">
        <is>
          <t>Boureima Ouédraogo</t>
        </is>
      </c>
      <c r="F283" t="n">
        <v>19801</v>
      </c>
      <c r="G283" t="inlineStr">
        <is>
          <t>Disjoncteur 16 A — réf 1</t>
        </is>
      </c>
      <c r="H283" t="inlineStr">
        <is>
          <t>Electricité</t>
        </is>
      </c>
      <c r="I283" t="n">
        <v>3</v>
      </c>
      <c r="J283" s="5" t="n">
        <v>10075</v>
      </c>
      <c r="K283" s="6" t="n">
        <v>0</v>
      </c>
      <c r="L283" s="5" t="n">
        <v>30225</v>
      </c>
      <c r="M283" s="5" t="n">
        <v>35665</v>
      </c>
      <c r="N283" s="5">
        <f>ROUND(I283*J283*(1-K283),0)</f>
        <v/>
      </c>
    </row>
    <row r="284">
      <c r="A284" t="inlineStr">
        <is>
          <t>T05-250801-099078</t>
        </is>
      </c>
      <c r="B284" s="4" t="n">
        <v>45870</v>
      </c>
      <c r="C284" t="inlineStr">
        <is>
          <t>16:52</t>
        </is>
      </c>
      <c r="D284" t="inlineStr">
        <is>
          <t>Magasin 5 — Kaya Marché</t>
        </is>
      </c>
      <c r="E284" t="inlineStr">
        <is>
          <t>Salamatu Sankara</t>
        </is>
      </c>
      <c r="F284" t="n">
        <v>14999</v>
      </c>
      <c r="G284" t="inlineStr">
        <is>
          <t>Parpaing 15 aggloméré — réf 2</t>
        </is>
      </c>
      <c r="H284" t="inlineStr">
        <is>
          <t>Matériaux</t>
        </is>
      </c>
      <c r="I284" t="n">
        <v>11</v>
      </c>
      <c r="J284" s="5" t="n">
        <v>1400</v>
      </c>
      <c r="K284" s="6" t="n">
        <v>0.04</v>
      </c>
      <c r="L284" s="5" t="n">
        <v>14784</v>
      </c>
      <c r="M284" s="5" t="n">
        <v>17445</v>
      </c>
      <c r="N284" s="5">
        <f>ROUND(I284*J284*(1-K284),0)</f>
        <v/>
      </c>
    </row>
    <row r="285">
      <c r="A285" t="inlineStr">
        <is>
          <t>T05-250801-099079</t>
        </is>
      </c>
      <c r="B285" s="4" t="n">
        <v>45870</v>
      </c>
      <c r="C285" t="inlineStr">
        <is>
          <t>09:43</t>
        </is>
      </c>
      <c r="D285" t="inlineStr">
        <is>
          <t>Magasin 5 — Kaya Marché</t>
        </is>
      </c>
      <c r="E285" t="inlineStr">
        <is>
          <t>Moussa Ilboudo</t>
        </is>
      </c>
      <c r="F285" t="n">
        <v>19250</v>
      </c>
      <c r="G285" t="inlineStr">
        <is>
          <t>Pointe 100 mm (kg) — réf 1</t>
        </is>
      </c>
      <c r="H285" t="inlineStr">
        <is>
          <t>Quincaillerie</t>
        </is>
      </c>
      <c r="I285" t="n">
        <v>3</v>
      </c>
      <c r="J285" s="5" t="n">
        <v>2525</v>
      </c>
      <c r="K285" s="6" t="n">
        <v>0.04</v>
      </c>
      <c r="L285" s="5" t="n">
        <v>7272</v>
      </c>
      <c r="M285" s="5" t="n">
        <v>8581</v>
      </c>
      <c r="N285" s="5">
        <f>ROUND(I285*J285*(1-K285),0)</f>
        <v/>
      </c>
    </row>
    <row r="286">
      <c r="A286" t="inlineStr">
        <is>
          <t>T05-250801-099080</t>
        </is>
      </c>
      <c r="B286" s="4" t="n">
        <v>45870</v>
      </c>
      <c r="C286" t="inlineStr">
        <is>
          <t>09:41</t>
        </is>
      </c>
      <c r="D286" t="inlineStr">
        <is>
          <t>Magasin 5 — Kaya Marché</t>
        </is>
      </c>
      <c r="E286" t="inlineStr">
        <is>
          <t>Salamatu Sankara</t>
        </is>
      </c>
      <c r="F286" t="n">
        <v>16857</v>
      </c>
      <c r="G286" t="inlineStr">
        <is>
          <t>Fer à béton 8 mm (barre) — réf 1</t>
        </is>
      </c>
      <c r="H286" t="inlineStr">
        <is>
          <t>Quincaillerie</t>
        </is>
      </c>
      <c r="I286" t="n">
        <v>3</v>
      </c>
      <c r="J286" s="5" t="n">
        <v>1575</v>
      </c>
      <c r="K286" s="6" t="n">
        <v>0</v>
      </c>
      <c r="L286" s="5" t="n">
        <v>4725</v>
      </c>
      <c r="M286" s="5" t="n">
        <v>5575</v>
      </c>
      <c r="N286" s="5">
        <f>ROUND(I286*J286*(1-K286),0)</f>
        <v/>
      </c>
    </row>
    <row r="287">
      <c r="A287" t="inlineStr">
        <is>
          <t>T05-250801-099081</t>
        </is>
      </c>
      <c r="B287" s="4" t="n">
        <v>45870</v>
      </c>
      <c r="C287" t="inlineStr">
        <is>
          <t>12:00</t>
        </is>
      </c>
      <c r="D287" t="inlineStr">
        <is>
          <t>Magasin 5 — Kaya Marché</t>
        </is>
      </c>
      <c r="E287" t="inlineStr">
        <is>
          <t>Moussa Ilboudo</t>
        </is>
      </c>
      <c r="F287" t="n">
        <v>4004</v>
      </c>
      <c r="G287" t="inlineStr">
        <is>
          <t>Lunettes de protection — réf 2</t>
        </is>
      </c>
      <c r="H287" t="inlineStr">
        <is>
          <t>Consommables</t>
        </is>
      </c>
      <c r="I287" t="n">
        <v>1</v>
      </c>
      <c r="J287" s="5" t="n">
        <v>4800</v>
      </c>
      <c r="K287" s="6" t="n">
        <v>0</v>
      </c>
      <c r="L287" s="5" t="n">
        <v>4800</v>
      </c>
      <c r="M287" s="5" t="n">
        <v>5664</v>
      </c>
      <c r="N287" s="5">
        <f>ROUND(I287*J287*(1-K287),0)</f>
        <v/>
      </c>
    </row>
    <row r="288">
      <c r="A288" t="inlineStr">
        <is>
          <t>T05-250801-099082</t>
        </is>
      </c>
      <c r="B288" s="4" t="n">
        <v>45870</v>
      </c>
      <c r="C288" t="inlineStr">
        <is>
          <t>11:11</t>
        </is>
      </c>
      <c r="D288" t="inlineStr">
        <is>
          <t>Magasin 5 — Kaya Marché</t>
        </is>
      </c>
      <c r="E288" t="inlineStr">
        <is>
          <t>Adama Bationo</t>
        </is>
      </c>
      <c r="F288" t="n">
        <v>6502</v>
      </c>
      <c r="G288" t="inlineStr">
        <is>
          <t>Pelle carrée — réf 2</t>
        </is>
      </c>
      <c r="H288" t="inlineStr">
        <is>
          <t>Consommables</t>
        </is>
      </c>
      <c r="I288" t="n">
        <v>2</v>
      </c>
      <c r="J288" s="5" t="n">
        <v>5250</v>
      </c>
      <c r="K288" s="6" t="n">
        <v>0.08</v>
      </c>
      <c r="L288" s="5" t="n">
        <v>9660</v>
      </c>
      <c r="M288" s="5" t="n">
        <v>11399</v>
      </c>
      <c r="N288" s="5">
        <f>ROUND(I288*J288*(1-K288),0)</f>
        <v/>
      </c>
    </row>
    <row r="289">
      <c r="A289" t="inlineStr">
        <is>
          <t>T05-250801-099083</t>
        </is>
      </c>
      <c r="B289" s="4" t="n">
        <v>45870</v>
      </c>
      <c r="C289" t="inlineStr">
        <is>
          <t>17:56</t>
        </is>
      </c>
      <c r="D289" t="inlineStr">
        <is>
          <t>Magasin 5 — Kaya Marché</t>
        </is>
      </c>
      <c r="E289" t="inlineStr">
        <is>
          <t>Moussa Ilboudo</t>
        </is>
      </c>
      <c r="F289" t="n">
        <v>0</v>
      </c>
      <c r="G289" t="inlineStr">
        <is>
          <t>Peinture toiture 25 kg — réf 1</t>
        </is>
      </c>
      <c r="H289" t="inlineStr">
        <is>
          <t>Peinture</t>
        </is>
      </c>
      <c r="I289" t="n">
        <v>5</v>
      </c>
      <c r="J289" s="5" t="n">
        <v>4025</v>
      </c>
      <c r="K289" s="6" t="n">
        <v>0</v>
      </c>
      <c r="L289" s="5" t="n">
        <v>20125</v>
      </c>
      <c r="M289" s="5" t="n">
        <v>23747</v>
      </c>
      <c r="N289" s="5">
        <f>ROUND(I289*J289*(1-K289),0)</f>
        <v/>
      </c>
    </row>
    <row r="290">
      <c r="A290" t="inlineStr">
        <is>
          <t>T05-250801-099084</t>
        </is>
      </c>
      <c r="B290" s="4" t="n">
        <v>45870</v>
      </c>
      <c r="C290" t="inlineStr">
        <is>
          <t>16:16</t>
        </is>
      </c>
      <c r="D290" t="inlineStr">
        <is>
          <t>Magasin 5 — Kaya Marché</t>
        </is>
      </c>
      <c r="E290" t="inlineStr">
        <is>
          <t>Boureima Ouédraogo</t>
        </is>
      </c>
      <c r="F290" t="n">
        <v>18638</v>
      </c>
      <c r="G290" t="inlineStr">
        <is>
          <t>Cheville nylon 8 mm (sachet) — réf 2</t>
        </is>
      </c>
      <c r="H290" t="inlineStr">
        <is>
          <t>Quincaillerie</t>
        </is>
      </c>
      <c r="I290" t="n">
        <v>1</v>
      </c>
      <c r="J290" s="5" t="n">
        <v>2050</v>
      </c>
      <c r="K290" s="6" t="n">
        <v>0.04</v>
      </c>
      <c r="L290" s="5" t="n">
        <v>1968</v>
      </c>
      <c r="M290" s="5" t="n">
        <v>2322</v>
      </c>
      <c r="N290" s="5">
        <f>ROUND(I290*J290*(1-K290),0)</f>
        <v/>
      </c>
    </row>
    <row r="291">
      <c r="A291" t="inlineStr">
        <is>
          <t>T05-250801-099085</t>
        </is>
      </c>
      <c r="B291" s="4" t="n">
        <v>45870</v>
      </c>
      <c r="C291" t="inlineStr">
        <is>
          <t>12:44</t>
        </is>
      </c>
      <c r="D291" t="inlineStr">
        <is>
          <t>Magasin 5 — Kaya Marché</t>
        </is>
      </c>
      <c r="E291" t="inlineStr">
        <is>
          <t>Moussa Ilboudo</t>
        </is>
      </c>
      <c r="F291" t="n">
        <v>0</v>
      </c>
      <c r="G291" t="inlineStr">
        <is>
          <t>Ampoule LED 9 W — réf 1</t>
        </is>
      </c>
      <c r="H291" t="inlineStr">
        <is>
          <t>Electricité</t>
        </is>
      </c>
      <c r="I291" t="n">
        <v>20</v>
      </c>
      <c r="J291" s="5" t="n">
        <v>9275</v>
      </c>
      <c r="K291" s="6" t="n">
        <v>0</v>
      </c>
      <c r="L291" s="5" t="n">
        <v>185500</v>
      </c>
      <c r="M291" s="5" t="n">
        <v>218890</v>
      </c>
      <c r="N291" s="5">
        <f>ROUND(I291*J291*(1-K291),0)</f>
        <v/>
      </c>
    </row>
    <row r="292">
      <c r="A292" t="inlineStr">
        <is>
          <t>T05-250801-099086</t>
        </is>
      </c>
      <c r="B292" s="4" t="n">
        <v>45870</v>
      </c>
      <c r="C292" t="inlineStr">
        <is>
          <t>14:23</t>
        </is>
      </c>
      <c r="D292" t="inlineStr">
        <is>
          <t>Magasin 5 — Kaya Marché</t>
        </is>
      </c>
      <c r="E292" t="inlineStr">
        <is>
          <t>Boureima Ouédraogo</t>
        </is>
      </c>
      <c r="F292" t="n">
        <v>728</v>
      </c>
      <c r="G292" t="inlineStr">
        <is>
          <t>Brique de terre cuite — réf 1</t>
        </is>
      </c>
      <c r="H292" t="inlineStr">
        <is>
          <t>Matériaux</t>
        </is>
      </c>
      <c r="I292" t="n">
        <v>1</v>
      </c>
      <c r="J292" s="5" t="n">
        <v>1050</v>
      </c>
      <c r="K292" s="6" t="n">
        <v>0.08</v>
      </c>
      <c r="L292" s="5" t="n">
        <v>966</v>
      </c>
      <c r="M292" s="5" t="n">
        <v>1140</v>
      </c>
      <c r="N292" s="5">
        <f>ROUND(I292*J292*(1-K292),0)</f>
        <v/>
      </c>
    </row>
    <row r="293">
      <c r="A293" t="inlineStr">
        <is>
          <t>T05-250801-099087</t>
        </is>
      </c>
      <c r="B293" s="4" t="n">
        <v>45870</v>
      </c>
      <c r="C293" t="inlineStr">
        <is>
          <t>16:51</t>
        </is>
      </c>
      <c r="D293" t="inlineStr">
        <is>
          <t>Magasin 5 — Kaya Marché</t>
        </is>
      </c>
      <c r="E293" t="inlineStr">
        <is>
          <t>Adama Bationo</t>
        </is>
      </c>
      <c r="F293" t="n">
        <v>6946</v>
      </c>
      <c r="G293" t="inlineStr">
        <is>
          <t>Brouette en kit — réf 1</t>
        </is>
      </c>
      <c r="H293" t="inlineStr">
        <is>
          <t>Consommables</t>
        </is>
      </c>
      <c r="I293" t="n">
        <v>7</v>
      </c>
      <c r="J293" s="5" t="n">
        <v>9675</v>
      </c>
      <c r="K293" s="6" t="n">
        <v>0.08</v>
      </c>
      <c r="L293" s="5" t="n">
        <v>62307</v>
      </c>
      <c r="M293" s="5" t="n">
        <v>73522</v>
      </c>
      <c r="N293" s="5">
        <f>ROUND(I293*J293*(1-K293),0)</f>
        <v/>
      </c>
    </row>
    <row r="294">
      <c r="A294" t="inlineStr">
        <is>
          <t>T05-250801-099088</t>
        </is>
      </c>
      <c r="B294" s="4" t="n">
        <v>45870</v>
      </c>
      <c r="C294" t="inlineStr">
        <is>
          <t>07:34</t>
        </is>
      </c>
      <c r="D294" t="inlineStr">
        <is>
          <t>Magasin 5 — Kaya Marché</t>
        </is>
      </c>
      <c r="E294" t="inlineStr">
        <is>
          <t>Boureima Ouédraogo</t>
        </is>
      </c>
      <c r="F294" t="n">
        <v>16254</v>
      </c>
      <c r="G294" t="inlineStr">
        <is>
          <t>Chaux aérienne 25 kg — réf 1</t>
        </is>
      </c>
      <c r="H294" t="inlineStr">
        <is>
          <t>Matériaux</t>
        </is>
      </c>
      <c r="I294" t="n">
        <v>2</v>
      </c>
      <c r="J294" s="5" t="n">
        <v>5250</v>
      </c>
      <c r="K294" s="6" t="n">
        <v>0</v>
      </c>
      <c r="L294" s="5" t="n">
        <v>10500</v>
      </c>
      <c r="M294" s="5" t="n">
        <v>12390</v>
      </c>
      <c r="N294" s="5">
        <f>ROUND(I294*J294*(1-K294),0)</f>
        <v/>
      </c>
    </row>
    <row r="295">
      <c r="A295" t="inlineStr">
        <is>
          <t>T05-250801-099089</t>
        </is>
      </c>
      <c r="B295" s="4" t="n">
        <v>45870</v>
      </c>
      <c r="C295" t="inlineStr">
        <is>
          <t>11:08</t>
        </is>
      </c>
      <c r="D295" t="inlineStr">
        <is>
          <t>Magasin 5 — Kaya Marché</t>
        </is>
      </c>
      <c r="E295" t="inlineStr">
        <is>
          <t>Moussa Ilboudo</t>
        </is>
      </c>
      <c r="F295" t="n">
        <v>3702</v>
      </c>
      <c r="G295" t="inlineStr">
        <is>
          <t>Carreau de pavement 40x40 — réf 2</t>
        </is>
      </c>
      <c r="H295" t="inlineStr">
        <is>
          <t>Matériaux</t>
        </is>
      </c>
      <c r="I295" t="n">
        <v>23</v>
      </c>
      <c r="J295" s="5" t="n">
        <v>1075</v>
      </c>
      <c r="K295" s="6" t="n">
        <v>0</v>
      </c>
      <c r="L295" s="5" t="n">
        <v>24725</v>
      </c>
      <c r="M295" s="5" t="n">
        <v>29175</v>
      </c>
      <c r="N295" s="5">
        <f>ROUND(I295*J295*(1-K295),0)</f>
        <v/>
      </c>
    </row>
    <row r="296">
      <c r="A296" t="inlineStr">
        <is>
          <t>T05-250801-099090</t>
        </is>
      </c>
      <c r="B296" s="4" t="n">
        <v>45870</v>
      </c>
      <c r="C296" t="inlineStr">
        <is>
          <t>12:30</t>
        </is>
      </c>
      <c r="D296" t="inlineStr">
        <is>
          <t>Magasin 5 — Kaya Marché</t>
        </is>
      </c>
      <c r="E296" t="inlineStr">
        <is>
          <t>Boureima Ouédraogo</t>
        </is>
      </c>
      <c r="F296" t="n">
        <v>3776</v>
      </c>
      <c r="G296" t="inlineStr">
        <is>
          <t>Panneau MDF 12 mm — réf 1</t>
        </is>
      </c>
      <c r="H296" t="inlineStr">
        <is>
          <t>Bois &amp; panneaux</t>
        </is>
      </c>
      <c r="I296" t="n">
        <v>14</v>
      </c>
      <c r="J296" s="5" t="n">
        <v>18400</v>
      </c>
      <c r="K296" s="6" t="n">
        <v>0.08</v>
      </c>
      <c r="L296" s="5" t="n">
        <v>236992</v>
      </c>
      <c r="M296" s="5" t="n">
        <v>279651</v>
      </c>
      <c r="N296" s="5">
        <f>ROUND(I296*J296*(1-K296),0)</f>
        <v/>
      </c>
    </row>
    <row r="297">
      <c r="A297" t="inlineStr">
        <is>
          <t>T05-250801-099091</t>
        </is>
      </c>
      <c r="B297" s="4" t="n">
        <v>45870</v>
      </c>
      <c r="C297" t="inlineStr">
        <is>
          <t>13:26</t>
        </is>
      </c>
      <c r="D297" t="inlineStr">
        <is>
          <t>Magasin 5 — Kaya Marché</t>
        </is>
      </c>
      <c r="E297" t="inlineStr">
        <is>
          <t>Salamatu Sankara</t>
        </is>
      </c>
      <c r="F297" t="n">
        <v>3764</v>
      </c>
      <c r="G297" t="inlineStr">
        <is>
          <t>Sable de rivière (m3) — réf 1</t>
        </is>
      </c>
      <c r="H297" t="inlineStr">
        <is>
          <t>Matériaux</t>
        </is>
      </c>
      <c r="I297" t="n">
        <v>3</v>
      </c>
      <c r="J297" s="5" t="n">
        <v>25300</v>
      </c>
      <c r="K297" s="6" t="n">
        <v>0.08</v>
      </c>
      <c r="L297" s="5" t="n">
        <v>69828</v>
      </c>
      <c r="M297" s="5" t="n">
        <v>82397</v>
      </c>
      <c r="N297" s="5">
        <f>ROUND(I297*J297*(1-K297),0)</f>
        <v/>
      </c>
    </row>
    <row r="298">
      <c r="A298" t="inlineStr">
        <is>
          <t>T05-250801-099092</t>
        </is>
      </c>
      <c r="B298" s="4" t="n">
        <v>45870</v>
      </c>
      <c r="C298" t="inlineStr">
        <is>
          <t>11:28</t>
        </is>
      </c>
      <c r="D298" t="inlineStr">
        <is>
          <t>Magasin 5 — Kaya Marché</t>
        </is>
      </c>
      <c r="E298" t="inlineStr">
        <is>
          <t>Boureima Ouédraogo</t>
        </is>
      </c>
      <c r="F298" t="n">
        <v>1144</v>
      </c>
      <c r="G298" t="inlineStr">
        <is>
          <t>Plaque de plâtre 13 mm — réf 1</t>
        </is>
      </c>
      <c r="H298" t="inlineStr">
        <is>
          <t>Bois &amp; panneaux</t>
        </is>
      </c>
      <c r="I298" t="n">
        <v>8</v>
      </c>
      <c r="J298" s="5" t="n">
        <v>9800</v>
      </c>
      <c r="K298" s="6" t="n">
        <v>0.04</v>
      </c>
      <c r="L298" s="5" t="n">
        <v>75264</v>
      </c>
      <c r="M298" s="5" t="n">
        <v>88812</v>
      </c>
      <c r="N298" s="5">
        <f>ROUND(I298*J298*(1-K298),0)</f>
        <v/>
      </c>
    </row>
    <row r="299">
      <c r="A299" t="inlineStr">
        <is>
          <t>T05-250801-099093</t>
        </is>
      </c>
      <c r="B299" s="4" t="n">
        <v>45870</v>
      </c>
      <c r="C299" t="inlineStr">
        <is>
          <t>15:49</t>
        </is>
      </c>
      <c r="D299" t="inlineStr">
        <is>
          <t>Magasin 5 — Kaya Marché</t>
        </is>
      </c>
      <c r="E299" t="inlineStr">
        <is>
          <t>Moussa Ilboudo</t>
        </is>
      </c>
      <c r="F299" t="inlineStr"/>
      <c r="G299" t="inlineStr">
        <is>
          <t>Disjoncteur 16 A — réf 1</t>
        </is>
      </c>
      <c r="H299" t="inlineStr">
        <is>
          <t>Electricité</t>
        </is>
      </c>
      <c r="I299" t="n">
        <v>52</v>
      </c>
      <c r="J299" s="5" t="n">
        <v>9625</v>
      </c>
      <c r="K299" s="6" t="n">
        <v>0</v>
      </c>
      <c r="L299" s="5" t="n">
        <v>500500</v>
      </c>
      <c r="M299" s="5" t="n">
        <v>590590</v>
      </c>
      <c r="N299" s="5">
        <f>ROUND(I299*J299*(1-K299),0)</f>
        <v/>
      </c>
    </row>
    <row r="300">
      <c r="A300" t="inlineStr">
        <is>
          <t>T05-250801-099094</t>
        </is>
      </c>
      <c r="B300" s="4" t="n">
        <v>45870</v>
      </c>
      <c r="C300" t="inlineStr">
        <is>
          <t>14:21</t>
        </is>
      </c>
      <c r="D300" t="inlineStr">
        <is>
          <t>Magasin 5 — Kaya Marché</t>
        </is>
      </c>
      <c r="E300" t="inlineStr">
        <is>
          <t>Adama Bationo</t>
        </is>
      </c>
      <c r="F300" t="n">
        <v>16069</v>
      </c>
      <c r="G300" t="inlineStr">
        <is>
          <t>Tableau 18 modules — réf 2</t>
        </is>
      </c>
      <c r="H300" t="inlineStr">
        <is>
          <t>Electricité</t>
        </is>
      </c>
      <c r="I300" t="n">
        <v>1</v>
      </c>
      <c r="J300" s="5" t="n">
        <v>8625</v>
      </c>
      <c r="K300" s="6" t="n">
        <v>0</v>
      </c>
      <c r="L300" s="5" t="n">
        <v>8625</v>
      </c>
      <c r="M300" s="5" t="n">
        <v>10177</v>
      </c>
      <c r="N300" s="5">
        <f>ROUND(I300*J300*(1-K300),0)</f>
        <v/>
      </c>
    </row>
    <row r="301">
      <c r="A301" t="inlineStr">
        <is>
          <t>T05-250801-099095</t>
        </is>
      </c>
      <c r="B301" s="4" t="n">
        <v>45870</v>
      </c>
      <c r="C301" t="inlineStr">
        <is>
          <t>08:06</t>
        </is>
      </c>
      <c r="D301" t="inlineStr">
        <is>
          <t>Magasin 5 — Kaya Marché</t>
        </is>
      </c>
      <c r="E301" t="inlineStr">
        <is>
          <t>Salamatu Sankara</t>
        </is>
      </c>
      <c r="F301" t="n">
        <v>21333</v>
      </c>
      <c r="G301" t="inlineStr">
        <is>
          <t>Tournevis cruciforme PH2 — réf 2</t>
        </is>
      </c>
      <c r="H301" t="inlineStr">
        <is>
          <t>Quincaillerie</t>
        </is>
      </c>
      <c r="I301" t="n">
        <v>2</v>
      </c>
      <c r="J301" s="5" t="n">
        <v>6225</v>
      </c>
      <c r="K301" s="6" t="n">
        <v>0.07000000000000001</v>
      </c>
      <c r="L301" s="5" t="n">
        <v>11578</v>
      </c>
      <c r="M301" s="5" t="n">
        <v>13662</v>
      </c>
      <c r="N301" s="5">
        <f>ROUND(I301*J301*(1-K301),0)</f>
        <v/>
      </c>
    </row>
    <row r="302">
      <c r="A302" t="inlineStr">
        <is>
          <t>T05-250801-099096</t>
        </is>
      </c>
      <c r="B302" s="4" t="n">
        <v>45870</v>
      </c>
      <c r="C302" t="inlineStr">
        <is>
          <t>14:39</t>
        </is>
      </c>
      <c r="D302" t="inlineStr">
        <is>
          <t>Magasin 5 — Kaya Marché</t>
        </is>
      </c>
      <c r="E302" t="inlineStr">
        <is>
          <t>Boureima Ouédraogo</t>
        </is>
      </c>
      <c r="F302" t="n">
        <v>13905</v>
      </c>
      <c r="G302" t="inlineStr">
        <is>
          <t>Carreau de pavement 40x40 — réf 1</t>
        </is>
      </c>
      <c r="H302" t="inlineStr">
        <is>
          <t>Matériaux</t>
        </is>
      </c>
      <c r="I302" t="n">
        <v>3</v>
      </c>
      <c r="J302" s="5" t="n">
        <v>1050</v>
      </c>
      <c r="K302" s="6" t="n">
        <v>0.08</v>
      </c>
      <c r="L302" s="5" t="n">
        <v>2898</v>
      </c>
      <c r="M302" s="5" t="n">
        <v>3420</v>
      </c>
      <c r="N302" s="5">
        <f>ROUND(I302*J302*(1-K302),0)</f>
        <v/>
      </c>
    </row>
    <row r="303">
      <c r="A303" t="inlineStr">
        <is>
          <t>T05-250801-099097</t>
        </is>
      </c>
      <c r="B303" s="4" t="n">
        <v>45870</v>
      </c>
      <c r="C303" t="inlineStr">
        <is>
          <t>12:37</t>
        </is>
      </c>
      <c r="D303" t="inlineStr">
        <is>
          <t>Magasin 5 — Kaya Marché</t>
        </is>
      </c>
      <c r="E303" t="inlineStr">
        <is>
          <t>Adama Bationo</t>
        </is>
      </c>
      <c r="F303" t="n">
        <v>0</v>
      </c>
      <c r="G303" t="inlineStr">
        <is>
          <t>Vis à bois 4x40 (boîte) — réf 1</t>
        </is>
      </c>
      <c r="H303" t="inlineStr">
        <is>
          <t>Quincaillerie</t>
        </is>
      </c>
      <c r="I303" t="n">
        <v>4</v>
      </c>
      <c r="J303" s="5" t="n">
        <v>1750</v>
      </c>
      <c r="K303" s="6" t="n">
        <v>0</v>
      </c>
      <c r="L303" s="5" t="n">
        <v>7000</v>
      </c>
      <c r="M303" s="5" t="n">
        <v>8260</v>
      </c>
      <c r="N303" s="5">
        <f>ROUND(I303*J303*(1-K303),0)</f>
        <v/>
      </c>
    </row>
    <row r="304">
      <c r="A304" t="inlineStr">
        <is>
          <t>T05-250802-099181</t>
        </is>
      </c>
      <c r="B304" s="4" t="n">
        <v>45871</v>
      </c>
      <c r="C304" t="inlineStr">
        <is>
          <t>09:32</t>
        </is>
      </c>
      <c r="D304" t="inlineStr">
        <is>
          <t>Magasin 5 — Kaya Marché</t>
        </is>
      </c>
      <c r="E304" t="inlineStr">
        <is>
          <t>Moussa Ilboudo</t>
        </is>
      </c>
      <c r="F304" t="n">
        <v>4787</v>
      </c>
      <c r="G304" t="inlineStr">
        <is>
          <t>Gants anti-coupure (paire) — réf 2</t>
        </is>
      </c>
      <c r="H304" t="inlineStr">
        <is>
          <t>Consommables</t>
        </is>
      </c>
      <c r="I304" t="n">
        <v>3</v>
      </c>
      <c r="J304" s="5" t="n">
        <v>5300</v>
      </c>
      <c r="K304" s="6" t="n">
        <v>0</v>
      </c>
      <c r="L304" s="5" t="n">
        <v>15900</v>
      </c>
      <c r="M304" s="5" t="n">
        <v>18762</v>
      </c>
      <c r="N304" s="5">
        <f>ROUND(I304*J304*(1-K304),0)</f>
        <v/>
      </c>
    </row>
    <row r="305">
      <c r="A305" t="inlineStr">
        <is>
          <t>T05-250802-099181</t>
        </is>
      </c>
      <c r="B305" s="4" t="n">
        <v>45871</v>
      </c>
      <c r="C305" t="inlineStr">
        <is>
          <t>12:22</t>
        </is>
      </c>
      <c r="D305" t="inlineStr">
        <is>
          <t>Magasin 5 — Kaya Marché</t>
        </is>
      </c>
      <c r="E305" t="inlineStr">
        <is>
          <t>Adama Bationo</t>
        </is>
      </c>
      <c r="F305" t="inlineStr"/>
      <c r="G305" t="inlineStr">
        <is>
          <t>Brouette 90 L — réf 2</t>
        </is>
      </c>
      <c r="H305" t="inlineStr">
        <is>
          <t>Consommables</t>
        </is>
      </c>
      <c r="I305" t="n">
        <v>12</v>
      </c>
      <c r="J305" s="5" t="n">
        <v>10100</v>
      </c>
      <c r="K305" s="6" t="n">
        <v>0</v>
      </c>
      <c r="L305" s="5" t="n">
        <v>121200</v>
      </c>
      <c r="M305" s="5" t="n">
        <v>143016</v>
      </c>
      <c r="N305" s="5">
        <f>ROUND(I305*J305*(1-K305),0)</f>
        <v/>
      </c>
    </row>
    <row r="306">
      <c r="A306" t="inlineStr">
        <is>
          <t>T05-250802-099182</t>
        </is>
      </c>
      <c r="B306" s="4" t="n">
        <v>45871</v>
      </c>
      <c r="C306" t="inlineStr">
        <is>
          <t>11:44</t>
        </is>
      </c>
      <c r="D306" t="inlineStr">
        <is>
          <t>Magasin 5 — Kaya Marché</t>
        </is>
      </c>
      <c r="E306" t="inlineStr">
        <is>
          <t>Boureima Ouédraogo</t>
        </is>
      </c>
      <c r="F306" t="n">
        <v>13720</v>
      </c>
      <c r="G306" t="inlineStr">
        <is>
          <t>Tout-venant (m3) — réf 1</t>
        </is>
      </c>
      <c r="H306" t="inlineStr">
        <is>
          <t>Matériaux</t>
        </is>
      </c>
      <c r="I306" t="n">
        <v>2</v>
      </c>
      <c r="J306" s="5" t="n">
        <v>16275</v>
      </c>
      <c r="K306" s="6" t="n">
        <v>0</v>
      </c>
      <c r="L306" s="5" t="n">
        <v>32550</v>
      </c>
      <c r="M306" s="5" t="n">
        <v>38409</v>
      </c>
      <c r="N306" s="5">
        <f>ROUND(I306*J306*(1-K306),0)</f>
        <v/>
      </c>
    </row>
    <row r="307">
      <c r="A307" t="inlineStr">
        <is>
          <t>T05-250802-099182</t>
        </is>
      </c>
      <c r="B307" s="4" t="n">
        <v>45871</v>
      </c>
      <c r="C307" t="inlineStr">
        <is>
          <t>12:26</t>
        </is>
      </c>
      <c r="D307" t="inlineStr">
        <is>
          <t>Magasin 5 — Kaya Marché</t>
        </is>
      </c>
      <c r="E307" t="inlineStr">
        <is>
          <t>Moussa Ilboudo</t>
        </is>
      </c>
      <c r="F307" t="n">
        <v>7845</v>
      </c>
      <c r="G307" t="inlineStr">
        <is>
          <t>Brouette en kit — réf 1</t>
        </is>
      </c>
      <c r="H307" t="inlineStr">
        <is>
          <t>Consommables</t>
        </is>
      </c>
      <c r="I307" t="n">
        <v>3</v>
      </c>
      <c r="J307" s="5" t="n">
        <v>9425</v>
      </c>
      <c r="K307" s="6" t="n">
        <v>0</v>
      </c>
      <c r="L307" s="5" t="n">
        <v>28275</v>
      </c>
      <c r="M307" s="5" t="n">
        <v>33365</v>
      </c>
      <c r="N307" s="5">
        <f>ROUND(I307*J307*(1-K307),0)</f>
        <v/>
      </c>
    </row>
    <row r="308">
      <c r="A308" t="inlineStr">
        <is>
          <t>T05-250802-099183</t>
        </is>
      </c>
      <c r="B308" s="4" t="n">
        <v>45871</v>
      </c>
      <c r="C308" t="inlineStr">
        <is>
          <t>18:35</t>
        </is>
      </c>
      <c r="D308" t="inlineStr">
        <is>
          <t>Magasin 5 — Kaya Marché</t>
        </is>
      </c>
      <c r="E308" t="inlineStr">
        <is>
          <t>Salamatu Sankara</t>
        </is>
      </c>
      <c r="F308" t="n">
        <v>22512</v>
      </c>
      <c r="G308" t="inlineStr">
        <is>
          <t>Tournevis cruciforme PH2 — réf 2</t>
        </is>
      </c>
      <c r="H308" t="inlineStr">
        <is>
          <t>Quincaillerie</t>
        </is>
      </c>
      <c r="I308" t="n">
        <v>25</v>
      </c>
      <c r="J308" s="5" t="n">
        <v>6325</v>
      </c>
      <c r="K308" s="6" t="n">
        <v>0</v>
      </c>
      <c r="L308" s="5" t="n">
        <v>158125</v>
      </c>
      <c r="M308" s="5" t="n">
        <v>186587</v>
      </c>
      <c r="N308" s="5">
        <f>ROUND(I308*J308*(1-K308),0)</f>
        <v/>
      </c>
    </row>
    <row r="309">
      <c r="A309" t="inlineStr">
        <is>
          <t>T05-250802-099183</t>
        </is>
      </c>
      <c r="B309" s="4" t="n">
        <v>45871</v>
      </c>
      <c r="C309" t="inlineStr">
        <is>
          <t>15:01</t>
        </is>
      </c>
      <c r="D309" t="inlineStr">
        <is>
          <t>Magasin 5 — Kaya Marché</t>
        </is>
      </c>
      <c r="E309" t="inlineStr">
        <is>
          <t>Salamatu Sankara</t>
        </is>
      </c>
      <c r="F309" t="n">
        <v>0</v>
      </c>
      <c r="G309" t="inlineStr">
        <is>
          <t>Passe-câble étanche — réf 1</t>
        </is>
      </c>
      <c r="H309" t="inlineStr">
        <is>
          <t>Electricité</t>
        </is>
      </c>
      <c r="I309" t="n">
        <v>13</v>
      </c>
      <c r="J309" s="5" t="n">
        <v>16375</v>
      </c>
      <c r="K309" s="6" t="n">
        <v>0</v>
      </c>
      <c r="L309" s="5" t="n">
        <v>212875</v>
      </c>
      <c r="M309" s="5" t="n">
        <v>251193</v>
      </c>
      <c r="N309" s="5">
        <f>ROUND(I309*J309*(1-K309),0)</f>
        <v/>
      </c>
    </row>
    <row r="310">
      <c r="A310" t="inlineStr">
        <is>
          <t>T05-250802-099184</t>
        </is>
      </c>
      <c r="B310" s="4" t="n">
        <v>45871</v>
      </c>
      <c r="C310" t="inlineStr">
        <is>
          <t>16:07</t>
        </is>
      </c>
      <c r="D310" t="inlineStr">
        <is>
          <t>Magasin 5 — Kaya Marché</t>
        </is>
      </c>
      <c r="E310" t="inlineStr">
        <is>
          <t>Boureima Ouédraogo</t>
        </is>
      </c>
      <c r="F310" t="n">
        <v>9171</v>
      </c>
      <c r="G310" t="inlineStr">
        <is>
          <t>Tout-venant (m3) — réf 2</t>
        </is>
      </c>
      <c r="H310" t="inlineStr">
        <is>
          <t>Matériaux</t>
        </is>
      </c>
      <c r="I310" t="n">
        <v>3</v>
      </c>
      <c r="J310" s="5" t="n">
        <v>23975</v>
      </c>
      <c r="K310" s="6" t="n">
        <v>0</v>
      </c>
      <c r="L310" s="5" t="n">
        <v>71925</v>
      </c>
      <c r="M310" s="5" t="n">
        <v>84871</v>
      </c>
      <c r="N310" s="5">
        <f>ROUND(I310*J310*(1-K310),0)</f>
        <v/>
      </c>
    </row>
    <row r="311">
      <c r="A311" t="inlineStr">
        <is>
          <t>T05-250802-099184</t>
        </is>
      </c>
      <c r="B311" s="4" t="n">
        <v>45871</v>
      </c>
      <c r="C311" t="inlineStr">
        <is>
          <t>07:16</t>
        </is>
      </c>
      <c r="D311" t="inlineStr">
        <is>
          <t>Magasin 5 — Kaya Marché</t>
        </is>
      </c>
      <c r="E311" t="inlineStr">
        <is>
          <t>Salamatu Sankara</t>
        </is>
      </c>
      <c r="F311" t="n">
        <v>17024</v>
      </c>
      <c r="G311" t="inlineStr">
        <is>
          <t>Enduit de lissage 20 kg — réf 2</t>
        </is>
      </c>
      <c r="H311" t="inlineStr">
        <is>
          <t>Matériaux</t>
        </is>
      </c>
      <c r="I311" t="n">
        <v>6</v>
      </c>
      <c r="J311" s="5" t="n">
        <v>6450</v>
      </c>
      <c r="K311" s="6" t="n">
        <v>0</v>
      </c>
      <c r="L311" s="5" t="n">
        <v>38700</v>
      </c>
      <c r="M311" s="5" t="n">
        <v>45666</v>
      </c>
      <c r="N311" s="5">
        <f>ROUND(I311*J311*(1-K311),0)</f>
        <v/>
      </c>
    </row>
    <row r="312">
      <c r="A312" t="inlineStr">
        <is>
          <t>T05-250802-099185</t>
        </is>
      </c>
      <c r="B312" s="4" t="n">
        <v>45871</v>
      </c>
      <c r="C312" t="inlineStr">
        <is>
          <t>09:42</t>
        </is>
      </c>
      <c r="D312" t="inlineStr">
        <is>
          <t>Magasin 5 — Kaya Marché</t>
        </is>
      </c>
      <c r="E312" t="inlineStr">
        <is>
          <t>Salamatu Sankara</t>
        </is>
      </c>
      <c r="F312" t="n">
        <v>7375</v>
      </c>
      <c r="G312" t="inlineStr">
        <is>
          <t>Fil de fer recuit (kg) — réf 1</t>
        </is>
      </c>
      <c r="H312" t="inlineStr">
        <is>
          <t>Quincaillerie</t>
        </is>
      </c>
      <c r="I312" t="n">
        <v>12</v>
      </c>
      <c r="J312" s="5" t="n">
        <v>1650</v>
      </c>
      <c r="K312" s="6" t="n">
        <v>0</v>
      </c>
      <c r="L312" s="5" t="n">
        <v>19800</v>
      </c>
      <c r="M312" s="5" t="n">
        <v>23364</v>
      </c>
      <c r="N312" s="5">
        <f>ROUND(I312*J312*(1-K312),0)</f>
        <v/>
      </c>
    </row>
    <row r="313">
      <c r="A313" t="inlineStr">
        <is>
          <t>T05-250802-099185</t>
        </is>
      </c>
      <c r="B313" s="4" t="n">
        <v>45871</v>
      </c>
      <c r="C313" t="inlineStr">
        <is>
          <t>18:39</t>
        </is>
      </c>
      <c r="D313" t="inlineStr">
        <is>
          <t>Magasin 5 — Kaya Marché</t>
        </is>
      </c>
      <c r="E313" t="inlineStr">
        <is>
          <t>Salamatu Sankara</t>
        </is>
      </c>
      <c r="F313" t="inlineStr"/>
      <c r="G313" t="inlineStr">
        <is>
          <t>Enduit de lissage 20 kg — réf 1</t>
        </is>
      </c>
      <c r="H313" t="inlineStr">
        <is>
          <t>Matériaux</t>
        </is>
      </c>
      <c r="I313" t="n">
        <v>9</v>
      </c>
      <c r="J313" s="5" t="n">
        <v>7225</v>
      </c>
      <c r="K313" s="6" t="n">
        <v>0.04</v>
      </c>
      <c r="L313" s="5" t="n">
        <v>62424</v>
      </c>
      <c r="M313" s="5" t="n">
        <v>73660</v>
      </c>
      <c r="N313" s="5">
        <f>ROUND(I313*J313*(1-K313),0)</f>
        <v/>
      </c>
    </row>
    <row r="314">
      <c r="A314" t="inlineStr">
        <is>
          <t>T05-250802-099186</t>
        </is>
      </c>
      <c r="B314" s="4" t="n">
        <v>45871</v>
      </c>
      <c r="C314" t="inlineStr">
        <is>
          <t>10:11</t>
        </is>
      </c>
      <c r="D314" t="inlineStr">
        <is>
          <t>Magasin 5 — Kaya Marché</t>
        </is>
      </c>
      <c r="E314" t="inlineStr">
        <is>
          <t>Salamatu Sankara</t>
        </is>
      </c>
      <c r="F314" t="n">
        <v>5339</v>
      </c>
      <c r="G314" t="inlineStr">
        <is>
          <t>Panneau MDF 12 mm — réf 1</t>
        </is>
      </c>
      <c r="H314" t="inlineStr">
        <is>
          <t>Bois &amp; panneaux</t>
        </is>
      </c>
      <c r="I314" t="n">
        <v>6</v>
      </c>
      <c r="J314" s="5" t="n">
        <v>18525</v>
      </c>
      <c r="K314" s="6" t="n">
        <v>0.04</v>
      </c>
      <c r="L314" s="5" t="n">
        <v>106704</v>
      </c>
      <c r="M314" s="5" t="n">
        <v>125911</v>
      </c>
      <c r="N314" s="5">
        <f>ROUND(I314*J314*(1-K314),0)</f>
        <v/>
      </c>
    </row>
    <row r="315">
      <c r="A315" t="inlineStr">
        <is>
          <t>T05-250802-099186</t>
        </is>
      </c>
      <c r="B315" s="4" t="n">
        <v>45871</v>
      </c>
      <c r="C315" t="inlineStr">
        <is>
          <t>10:15</t>
        </is>
      </c>
      <c r="D315" t="inlineStr">
        <is>
          <t>Magasin 5 — Kaya Marché</t>
        </is>
      </c>
      <c r="E315" t="inlineStr">
        <is>
          <t>Adama Bationo</t>
        </is>
      </c>
      <c r="F315" t="n">
        <v>0</v>
      </c>
      <c r="G315" t="inlineStr">
        <is>
          <t>Diluant nitro 5 L — réf 1</t>
        </is>
      </c>
      <c r="H315" t="inlineStr">
        <is>
          <t>Peinture</t>
        </is>
      </c>
      <c r="I315" t="n">
        <v>14</v>
      </c>
      <c r="J315" s="5" t="n">
        <v>4500</v>
      </c>
      <c r="K315" s="6" t="n">
        <v>0</v>
      </c>
      <c r="L315" s="5" t="n">
        <v>63000</v>
      </c>
      <c r="M315" s="5" t="n">
        <v>74340</v>
      </c>
      <c r="N315" s="5">
        <f>ROUND(I315*J315*(1-K315),0)</f>
        <v/>
      </c>
    </row>
    <row r="316">
      <c r="A316" t="inlineStr">
        <is>
          <t>T05-250802-099187</t>
        </is>
      </c>
      <c r="B316" s="4" t="n">
        <v>45871</v>
      </c>
      <c r="C316" t="inlineStr">
        <is>
          <t>14:41</t>
        </is>
      </c>
      <c r="D316" t="inlineStr">
        <is>
          <t>Magasin 5 — Kaya Marché</t>
        </is>
      </c>
      <c r="E316" t="inlineStr">
        <is>
          <t>Adama Bationo</t>
        </is>
      </c>
      <c r="F316" t="n">
        <v>4245</v>
      </c>
      <c r="G316" t="inlineStr">
        <is>
          <t>Panneau contreplaqué 15 mm — réf 2</t>
        </is>
      </c>
      <c r="H316" t="inlineStr">
        <is>
          <t>Bois &amp; panneaux</t>
        </is>
      </c>
      <c r="I316" t="n">
        <v>5</v>
      </c>
      <c r="J316" s="5" t="n">
        <v>18875</v>
      </c>
      <c r="K316" s="6" t="n">
        <v>0.04</v>
      </c>
      <c r="L316" s="5" t="n">
        <v>90600</v>
      </c>
      <c r="M316" s="5" t="n">
        <v>106908</v>
      </c>
      <c r="N316" s="5">
        <f>ROUND(I316*J316*(1-K316),0)</f>
        <v/>
      </c>
    </row>
    <row r="317">
      <c r="A317" t="inlineStr">
        <is>
          <t>T05-250802-099187</t>
        </is>
      </c>
      <c r="B317" s="4" t="n">
        <v>45871</v>
      </c>
      <c r="C317" t="inlineStr">
        <is>
          <t>17:43</t>
        </is>
      </c>
      <c r="D317" t="inlineStr">
        <is>
          <t>Magasin 5 — Kaya Marché</t>
        </is>
      </c>
      <c r="E317" t="inlineStr">
        <is>
          <t>Adama Bationo</t>
        </is>
      </c>
      <c r="F317" t="n">
        <v>13354</v>
      </c>
      <c r="G317" t="inlineStr">
        <is>
          <t>Panneau contreplaqué 15 mm — réf 2</t>
        </is>
      </c>
      <c r="H317" t="inlineStr">
        <is>
          <t>Bois &amp; panneaux</t>
        </is>
      </c>
      <c r="I317" t="n">
        <v>6</v>
      </c>
      <c r="J317" s="5" t="n">
        <v>18775</v>
      </c>
      <c r="K317" s="6" t="n">
        <v>0.04</v>
      </c>
      <c r="L317" s="5" t="n">
        <v>108144</v>
      </c>
      <c r="M317" s="5" t="n">
        <v>127610</v>
      </c>
      <c r="N317" s="5">
        <f>ROUND(I317*J317*(1-K317),0)</f>
        <v/>
      </c>
    </row>
    <row r="318">
      <c r="A318" t="inlineStr">
        <is>
          <t>T05-250802-099188</t>
        </is>
      </c>
      <c r="B318" s="4" t="n">
        <v>45871</v>
      </c>
      <c r="C318" t="inlineStr">
        <is>
          <t>16:42</t>
        </is>
      </c>
      <c r="D318" t="inlineStr">
        <is>
          <t>Magasin 5 — Kaya Marché</t>
        </is>
      </c>
      <c r="E318" t="inlineStr">
        <is>
          <t>Salamatu Sankara</t>
        </is>
      </c>
      <c r="F318" t="n">
        <v>23479</v>
      </c>
      <c r="G318" t="inlineStr">
        <is>
          <t>Vernis marin 1 L — réf 1</t>
        </is>
      </c>
      <c r="H318" t="inlineStr">
        <is>
          <t>Peinture</t>
        </is>
      </c>
      <c r="I318" t="n">
        <v>6</v>
      </c>
      <c r="J318" s="5" t="n">
        <v>5675</v>
      </c>
      <c r="K318" s="6" t="n">
        <v>0</v>
      </c>
      <c r="L318" s="5" t="n">
        <v>34050</v>
      </c>
      <c r="M318" s="5" t="n">
        <v>40179</v>
      </c>
      <c r="N318" s="5">
        <f>ROUND(I318*J318*(1-K318),0)</f>
        <v/>
      </c>
    </row>
    <row r="319">
      <c r="A319" t="inlineStr">
        <is>
          <t>T05-250802-099188</t>
        </is>
      </c>
      <c r="B319" s="4" t="n">
        <v>45871</v>
      </c>
      <c r="C319" t="inlineStr">
        <is>
          <t>07:53</t>
        </is>
      </c>
      <c r="D319" t="inlineStr">
        <is>
          <t>Magasin 5 — Kaya Marché</t>
        </is>
      </c>
      <c r="E319" t="inlineStr">
        <is>
          <t>Adama Bationo</t>
        </is>
      </c>
      <c r="F319" t="n">
        <v>21535</v>
      </c>
      <c r="G319" t="inlineStr">
        <is>
          <t>Brouette 90 L — réf 1</t>
        </is>
      </c>
      <c r="H319" t="inlineStr">
        <is>
          <t>Consommables</t>
        </is>
      </c>
      <c r="I319" t="n">
        <v>10</v>
      </c>
      <c r="J319" s="5" t="n">
        <v>5000</v>
      </c>
      <c r="K319" s="6" t="n">
        <v>0</v>
      </c>
      <c r="L319" s="5" t="n">
        <v>50000</v>
      </c>
      <c r="M319" s="5" t="n">
        <v>59000</v>
      </c>
      <c r="N319" s="5">
        <f>ROUND(I319*J319*(1-K319),0)</f>
        <v/>
      </c>
    </row>
    <row r="320">
      <c r="A320" t="inlineStr">
        <is>
          <t>T05-250802-099189</t>
        </is>
      </c>
      <c r="B320" s="4" t="n">
        <v>45871</v>
      </c>
      <c r="C320" t="inlineStr">
        <is>
          <t>11:02</t>
        </is>
      </c>
      <c r="D320" t="inlineStr">
        <is>
          <t>Magasin 5 — Kaya Marché</t>
        </is>
      </c>
      <c r="E320" t="inlineStr">
        <is>
          <t>Salamatu Sankara</t>
        </is>
      </c>
      <c r="F320" t="n">
        <v>12218</v>
      </c>
      <c r="G320" t="inlineStr">
        <is>
          <t>Chaux aérienne 25 kg — réf 1</t>
        </is>
      </c>
      <c r="H320" t="inlineStr">
        <is>
          <t>Matériaux</t>
        </is>
      </c>
      <c r="I320" t="n">
        <v>5</v>
      </c>
      <c r="J320" s="5" t="n">
        <v>5100</v>
      </c>
      <c r="K320" s="6" t="n">
        <v>0</v>
      </c>
      <c r="L320" s="5" t="n">
        <v>25500</v>
      </c>
      <c r="M320" s="5" t="n">
        <v>30090</v>
      </c>
      <c r="N320" s="5">
        <f>ROUND(I320*J320*(1-K320),0)</f>
        <v/>
      </c>
    </row>
    <row r="321">
      <c r="A321" t="inlineStr">
        <is>
          <t>T05-250802-099189</t>
        </is>
      </c>
      <c r="B321" s="4" t="n">
        <v>45871</v>
      </c>
      <c r="C321" t="inlineStr">
        <is>
          <t>14:26</t>
        </is>
      </c>
      <c r="D321" t="inlineStr">
        <is>
          <t>Magasin 5 — Kaya Marché</t>
        </is>
      </c>
      <c r="E321" t="inlineStr">
        <is>
          <t>Adama Bationo</t>
        </is>
      </c>
      <c r="F321" t="n">
        <v>23312</v>
      </c>
      <c r="G321" t="inlineStr">
        <is>
          <t>Régulateur de charge 10 A — réf 1</t>
        </is>
      </c>
      <c r="H321" t="inlineStr">
        <is>
          <t>Electricité</t>
        </is>
      </c>
      <c r="I321" t="n">
        <v>1</v>
      </c>
      <c r="J321" s="5" t="n">
        <v>21300</v>
      </c>
      <c r="K321" s="6" t="n">
        <v>0.04</v>
      </c>
      <c r="L321" s="5" t="n">
        <v>20448</v>
      </c>
      <c r="M321" s="5" t="n">
        <v>24129</v>
      </c>
      <c r="N321" s="5">
        <f>ROUND(I321*J321*(1-K321),0)</f>
        <v/>
      </c>
    </row>
    <row r="322">
      <c r="A322" t="inlineStr">
        <is>
          <t>T05-250901-101911</t>
        </is>
      </c>
      <c r="B322" s="4" t="n">
        <v>45901</v>
      </c>
      <c r="C322" t="inlineStr">
        <is>
          <t>17:44</t>
        </is>
      </c>
      <c r="D322" t="inlineStr">
        <is>
          <t>Magasin 5 — Kaya Marché</t>
        </is>
      </c>
      <c r="E322" t="inlineStr">
        <is>
          <t>Moussa Ilboudo</t>
        </is>
      </c>
      <c r="F322" t="n">
        <v>7317</v>
      </c>
      <c r="G322" t="inlineStr">
        <is>
          <t>Pavé autobloquant — réf 1</t>
        </is>
      </c>
      <c r="H322" t="inlineStr">
        <is>
          <t>Matériaux</t>
        </is>
      </c>
      <c r="I322" t="n">
        <v>12</v>
      </c>
      <c r="J322" s="5" t="n">
        <v>1175</v>
      </c>
      <c r="K322" s="6" t="n">
        <v>0</v>
      </c>
      <c r="L322" s="5" t="n">
        <v>14100</v>
      </c>
      <c r="M322" s="5" t="n">
        <v>16638</v>
      </c>
      <c r="N322" s="5">
        <f>ROUND(I322*J322*(1-K322),0)</f>
        <v/>
      </c>
    </row>
    <row r="323">
      <c r="A323" t="inlineStr">
        <is>
          <t>T05-250901-101911</t>
        </is>
      </c>
      <c r="B323" s="4" t="n">
        <v>45901</v>
      </c>
      <c r="C323" t="inlineStr">
        <is>
          <t>18:54</t>
        </is>
      </c>
      <c r="D323" t="inlineStr">
        <is>
          <t>Magasin 5 — Kaya Marché</t>
        </is>
      </c>
      <c r="E323" t="inlineStr">
        <is>
          <t>Boureima Ouédraogo</t>
        </is>
      </c>
      <c r="F323" t="n">
        <v>5898</v>
      </c>
      <c r="G323" t="inlineStr">
        <is>
          <t>Meuleuse 125 mm — réf 1</t>
        </is>
      </c>
      <c r="H323" t="inlineStr">
        <is>
          <t>Quincaillerie</t>
        </is>
      </c>
      <c r="I323" t="n">
        <v>1</v>
      </c>
      <c r="J323" s="5" t="n">
        <v>7625</v>
      </c>
      <c r="K323" s="6" t="n">
        <v>0</v>
      </c>
      <c r="L323" s="5" t="n">
        <v>7625</v>
      </c>
      <c r="M323" s="5" t="n">
        <v>8997</v>
      </c>
      <c r="N323" s="5">
        <f>ROUND(I323*J323*(1-K323),0)</f>
        <v/>
      </c>
    </row>
    <row r="324">
      <c r="A324" t="inlineStr">
        <is>
          <t>T05-250901-101911</t>
        </is>
      </c>
      <c r="B324" s="4" t="n">
        <v>45901</v>
      </c>
      <c r="C324" t="inlineStr">
        <is>
          <t>09:58</t>
        </is>
      </c>
      <c r="D324" t="inlineStr">
        <is>
          <t>Magasin 5 — Kaya Marché</t>
        </is>
      </c>
      <c r="E324" t="inlineStr">
        <is>
          <t>Moussa Ilboudo</t>
        </is>
      </c>
      <c r="F324" t="n">
        <v>13989</v>
      </c>
      <c r="G324" t="inlineStr">
        <is>
          <t>Meuleuse 125 mm — réf 1</t>
        </is>
      </c>
      <c r="H324" t="inlineStr">
        <is>
          <t>Quincaillerie</t>
        </is>
      </c>
      <c r="I324" t="n">
        <v>1</v>
      </c>
      <c r="J324" s="5" t="n">
        <v>7475</v>
      </c>
      <c r="K324" s="6" t="n">
        <v>0.04</v>
      </c>
      <c r="L324" s="5" t="n">
        <v>7176</v>
      </c>
      <c r="M324" s="5" t="n">
        <v>8468</v>
      </c>
      <c r="N324" s="5">
        <f>ROUND(I324*J324*(1-K324),0)</f>
        <v/>
      </c>
    </row>
    <row r="325">
      <c r="A325" t="inlineStr">
        <is>
          <t>T05-250901-101912</t>
        </is>
      </c>
      <c r="B325" s="4" t="n">
        <v>45901</v>
      </c>
      <c r="C325" t="inlineStr">
        <is>
          <t>16:42</t>
        </is>
      </c>
      <c r="D325" t="inlineStr">
        <is>
          <t>Magasin 5 — Kaya Marché</t>
        </is>
      </c>
      <c r="E325" t="inlineStr">
        <is>
          <t>Adama Bationo</t>
        </is>
      </c>
      <c r="F325" t="n">
        <v>0</v>
      </c>
      <c r="G325" t="inlineStr">
        <is>
          <t>Perforateur 800 W — réf 2</t>
        </is>
      </c>
      <c r="H325" t="inlineStr">
        <is>
          <t>Quincaillerie</t>
        </is>
      </c>
      <c r="I325" t="n">
        <v>4</v>
      </c>
      <c r="J325" s="5" t="n">
        <v>5675</v>
      </c>
      <c r="K325" s="6" t="n">
        <v>0</v>
      </c>
      <c r="L325" s="5" t="n">
        <v>22700</v>
      </c>
      <c r="M325" s="5" t="n">
        <v>26786</v>
      </c>
      <c r="N325" s="5">
        <f>ROUND(I325*J325*(1-K325),0)</f>
        <v/>
      </c>
    </row>
    <row r="326">
      <c r="A326" t="inlineStr">
        <is>
          <t>T05-250901-101912</t>
        </is>
      </c>
      <c r="B326" s="4" t="n">
        <v>45901</v>
      </c>
      <c r="C326" t="inlineStr">
        <is>
          <t>10:21</t>
        </is>
      </c>
      <c r="D326" t="inlineStr">
        <is>
          <t>Magasin 5 — Kaya Marché</t>
        </is>
      </c>
      <c r="E326" t="inlineStr">
        <is>
          <t>Salamatu Sankara</t>
        </is>
      </c>
      <c r="F326" t="n">
        <v>557</v>
      </c>
      <c r="G326" t="inlineStr">
        <is>
          <t>Gants anti-coupure (paire) — réf 1</t>
        </is>
      </c>
      <c r="H326" t="inlineStr">
        <is>
          <t>Consommables</t>
        </is>
      </c>
      <c r="I326" t="n">
        <v>1</v>
      </c>
      <c r="J326" s="5" t="n">
        <v>8800</v>
      </c>
      <c r="K326" s="6" t="n">
        <v>0</v>
      </c>
      <c r="L326" s="5" t="n">
        <v>8800</v>
      </c>
      <c r="M326" s="5" t="n">
        <v>10384</v>
      </c>
      <c r="N326" s="5">
        <f>ROUND(I326*J326*(1-K326),0)</f>
        <v/>
      </c>
    </row>
    <row r="327">
      <c r="A327" t="inlineStr">
        <is>
          <t>T05-250901-101912</t>
        </is>
      </c>
      <c r="B327" s="4" t="n">
        <v>45901</v>
      </c>
      <c r="C327" t="inlineStr">
        <is>
          <t>15:44</t>
        </is>
      </c>
      <c r="D327" t="inlineStr">
        <is>
          <t>Magasin 5 — Kaya Marché</t>
        </is>
      </c>
      <c r="E327" t="inlineStr">
        <is>
          <t>Boureima Ouédraogo</t>
        </is>
      </c>
      <c r="F327" t="n">
        <v>10696</v>
      </c>
      <c r="G327" t="inlineStr">
        <is>
          <t>Mètre ruban 5 m — réf 1</t>
        </is>
      </c>
      <c r="H327" t="inlineStr">
        <is>
          <t>Quincaillerie</t>
        </is>
      </c>
      <c r="I327" t="n">
        <v>1</v>
      </c>
      <c r="J327" s="5" t="n">
        <v>7525</v>
      </c>
      <c r="K327" s="6" t="n">
        <v>0.08</v>
      </c>
      <c r="L327" s="5" t="n">
        <v>6923</v>
      </c>
      <c r="M327" s="5" t="n">
        <v>8169</v>
      </c>
      <c r="N327" s="5">
        <f>ROUND(I327*J327*(1-K327),0)</f>
        <v/>
      </c>
    </row>
    <row r="328">
      <c r="A328" t="inlineStr">
        <is>
          <t>T05-250901-101913</t>
        </is>
      </c>
      <c r="B328" s="4" t="n">
        <v>45901</v>
      </c>
      <c r="C328" t="inlineStr">
        <is>
          <t>15:25</t>
        </is>
      </c>
      <c r="D328" t="inlineStr">
        <is>
          <t>Magasin 5 — Kaya Marché</t>
        </is>
      </c>
      <c r="E328" t="inlineStr">
        <is>
          <t>Salamatu Sankara</t>
        </is>
      </c>
      <c r="F328" t="n">
        <v>0</v>
      </c>
      <c r="G328" t="inlineStr">
        <is>
          <t>Pelle carrée — réf 1</t>
        </is>
      </c>
      <c r="H328" t="inlineStr">
        <is>
          <t>Consommables</t>
        </is>
      </c>
      <c r="I328" t="n">
        <v>3</v>
      </c>
      <c r="J328" s="5" t="n">
        <v>9325</v>
      </c>
      <c r="K328" s="6" t="n">
        <v>0</v>
      </c>
      <c r="L328" s="5" t="n">
        <v>27975</v>
      </c>
      <c r="M328" s="5" t="n">
        <v>33011</v>
      </c>
      <c r="N328" s="5">
        <f>ROUND(I328*J328*(1-K328),0)</f>
        <v/>
      </c>
    </row>
    <row r="329">
      <c r="A329" t="inlineStr">
        <is>
          <t>T05-250901-101913</t>
        </is>
      </c>
      <c r="B329" s="4" t="n">
        <v>45901</v>
      </c>
      <c r="C329" t="inlineStr">
        <is>
          <t>14:02</t>
        </is>
      </c>
      <c r="D329" t="inlineStr">
        <is>
          <t>Magasin 5 — Kaya Marché</t>
        </is>
      </c>
      <c r="E329" t="inlineStr">
        <is>
          <t>Adama Bationo</t>
        </is>
      </c>
      <c r="F329" t="n">
        <v>0</v>
      </c>
      <c r="G329" t="inlineStr">
        <is>
          <t>Pointe 100 mm (kg) — réf 1</t>
        </is>
      </c>
      <c r="H329" t="inlineStr">
        <is>
          <t>Quincaillerie</t>
        </is>
      </c>
      <c r="I329" t="n">
        <v>2</v>
      </c>
      <c r="J329" s="5" t="n">
        <v>2550</v>
      </c>
      <c r="K329" s="6" t="n">
        <v>0</v>
      </c>
      <c r="L329" s="5" t="n">
        <v>5100</v>
      </c>
      <c r="M329" s="5" t="n">
        <v>6018</v>
      </c>
      <c r="N329" s="5">
        <f>ROUND(I329*J329*(1-K329),0)</f>
        <v/>
      </c>
    </row>
    <row r="330">
      <c r="A330" t="inlineStr">
        <is>
          <t>T05-250901-101913</t>
        </is>
      </c>
      <c r="B330" s="4" t="n">
        <v>45901</v>
      </c>
      <c r="C330" t="inlineStr">
        <is>
          <t>15:09</t>
        </is>
      </c>
      <c r="D330" t="inlineStr">
        <is>
          <t>Magasin 5 — Kaya Marché</t>
        </is>
      </c>
      <c r="E330" t="inlineStr">
        <is>
          <t>Moussa Ilboudo</t>
        </is>
      </c>
      <c r="F330" t="n">
        <v>1056</v>
      </c>
      <c r="G330" t="inlineStr">
        <is>
          <t>Douche de toilettes — réf 1</t>
        </is>
      </c>
      <c r="H330" t="inlineStr">
        <is>
          <t>Plomberie</t>
        </is>
      </c>
      <c r="I330" t="n">
        <v>2</v>
      </c>
      <c r="J330" s="5" t="n">
        <v>30925</v>
      </c>
      <c r="K330" s="6" t="n">
        <v>0</v>
      </c>
      <c r="L330" s="5" t="n">
        <v>61850</v>
      </c>
      <c r="M330" s="5" t="n">
        <v>72983</v>
      </c>
      <c r="N330" s="5">
        <f>ROUND(I330*J330*(1-K330),0)</f>
        <v/>
      </c>
    </row>
    <row r="331">
      <c r="A331" t="inlineStr">
        <is>
          <t>T05-250901-101914</t>
        </is>
      </c>
      <c r="B331" s="4" t="n">
        <v>45901</v>
      </c>
      <c r="C331" t="inlineStr">
        <is>
          <t>10:06</t>
        </is>
      </c>
      <c r="D331" t="inlineStr">
        <is>
          <t>Magasin 5 — Kaya Marché</t>
        </is>
      </c>
      <c r="E331" t="inlineStr">
        <is>
          <t>Adama Bationo</t>
        </is>
      </c>
      <c r="F331" t="n">
        <v>0</v>
      </c>
      <c r="G331" t="inlineStr">
        <is>
          <t>Ciment CPJ45 50 kg — réf 2</t>
        </is>
      </c>
      <c r="H331" t="inlineStr">
        <is>
          <t>Matériaux</t>
        </is>
      </c>
      <c r="I331" t="n">
        <v>2</v>
      </c>
      <c r="J331" s="5" t="n">
        <v>6675</v>
      </c>
      <c r="K331" s="6" t="n">
        <v>0</v>
      </c>
      <c r="L331" s="5" t="n">
        <v>13350</v>
      </c>
      <c r="M331" s="5" t="n">
        <v>15753</v>
      </c>
      <c r="N331" s="5">
        <f>ROUND(I331*J331*(1-K331),0)</f>
        <v/>
      </c>
    </row>
    <row r="332">
      <c r="A332" t="inlineStr">
        <is>
          <t>T05-250901-101914</t>
        </is>
      </c>
      <c r="B332" s="4" t="n">
        <v>45901</v>
      </c>
      <c r="C332" t="inlineStr">
        <is>
          <t>13:08</t>
        </is>
      </c>
      <c r="D332" t="inlineStr">
        <is>
          <t>Magasin 5 — Kaya Marché</t>
        </is>
      </c>
      <c r="E332" t="inlineStr">
        <is>
          <t>Salamatu Sankara</t>
        </is>
      </c>
      <c r="F332" t="n">
        <v>18698</v>
      </c>
      <c r="G332" t="inlineStr">
        <is>
          <t>Brouette en kit — réf 1</t>
        </is>
      </c>
      <c r="H332" t="inlineStr">
        <is>
          <t>Consommables</t>
        </is>
      </c>
      <c r="I332" t="n">
        <v>5</v>
      </c>
      <c r="J332" s="5" t="n">
        <v>9100</v>
      </c>
      <c r="K332" s="6" t="n">
        <v>0</v>
      </c>
      <c r="L332" s="5" t="n">
        <v>45500</v>
      </c>
      <c r="M332" s="5" t="n">
        <v>53690</v>
      </c>
      <c r="N332" s="5">
        <f>ROUND(I332*J332*(1-K332),0)</f>
        <v/>
      </c>
    </row>
    <row r="333">
      <c r="A333" t="inlineStr">
        <is>
          <t>T05-250901-101914</t>
        </is>
      </c>
      <c r="B333" s="4" t="n">
        <v>45901</v>
      </c>
      <c r="C333" t="inlineStr">
        <is>
          <t>07:24</t>
        </is>
      </c>
      <c r="D333" t="inlineStr">
        <is>
          <t>Magasin 5 — Kaya Marché</t>
        </is>
      </c>
      <c r="E333" t="inlineStr">
        <is>
          <t>Adama Bationo</t>
        </is>
      </c>
      <c r="F333" t="n">
        <v>16822</v>
      </c>
      <c r="G333" t="inlineStr">
        <is>
          <t>Lampe torche rechargeable — réf 1</t>
        </is>
      </c>
      <c r="H333" t="inlineStr">
        <is>
          <t>Electricité</t>
        </is>
      </c>
      <c r="I333" t="n">
        <v>20</v>
      </c>
      <c r="J333" s="5" t="n">
        <v>20350</v>
      </c>
      <c r="K333" s="6" t="n">
        <v>0.04</v>
      </c>
      <c r="L333" s="5" t="n">
        <v>390720</v>
      </c>
      <c r="M333" s="5" t="n">
        <v>461050</v>
      </c>
      <c r="N333" s="5">
        <f>ROUND(I333*J333*(1-K333),0)</f>
        <v/>
      </c>
    </row>
    <row r="334">
      <c r="A334" t="inlineStr">
        <is>
          <t>T05-250901-101915</t>
        </is>
      </c>
      <c r="B334" s="4" t="n">
        <v>45901</v>
      </c>
      <c r="C334" t="inlineStr">
        <is>
          <t>13:14</t>
        </is>
      </c>
      <c r="D334" t="inlineStr">
        <is>
          <t>Magasin 5 — Kaya Marché</t>
        </is>
      </c>
      <c r="E334" t="inlineStr">
        <is>
          <t>Adama Bationo</t>
        </is>
      </c>
      <c r="F334" t="n">
        <v>21039</v>
      </c>
      <c r="G334" t="inlineStr">
        <is>
          <t>Casque de chantier — réf 1</t>
        </is>
      </c>
      <c r="H334" t="inlineStr">
        <is>
          <t>Consommables</t>
        </is>
      </c>
      <c r="I334" t="n">
        <v>6</v>
      </c>
      <c r="J334" s="5" t="n">
        <v>8375</v>
      </c>
      <c r="K334" s="6" t="n">
        <v>0</v>
      </c>
      <c r="L334" s="5" t="n">
        <v>50250</v>
      </c>
      <c r="M334" s="5" t="n">
        <v>59295</v>
      </c>
      <c r="N334" s="5">
        <f>ROUND(I334*J334*(1-K334),0)</f>
        <v/>
      </c>
    </row>
    <row r="335">
      <c r="A335" t="inlineStr">
        <is>
          <t>T05-250901-101915</t>
        </is>
      </c>
      <c r="B335" s="4" t="n">
        <v>45901</v>
      </c>
      <c r="C335" t="inlineStr">
        <is>
          <t>15:56</t>
        </is>
      </c>
      <c r="D335" t="inlineStr">
        <is>
          <t>Magasin 5 — Kaya Marché</t>
        </is>
      </c>
      <c r="E335" t="inlineStr">
        <is>
          <t>Salamatu Sankara</t>
        </is>
      </c>
      <c r="F335" t="n">
        <v>4285</v>
      </c>
      <c r="G335" t="inlineStr">
        <is>
          <t>Vis à bois 4x40 (boîte) — réf 1</t>
        </is>
      </c>
      <c r="H335" t="inlineStr">
        <is>
          <t>Quincaillerie</t>
        </is>
      </c>
      <c r="I335" t="n">
        <v>31</v>
      </c>
      <c r="J335" s="5" t="n">
        <v>1825</v>
      </c>
      <c r="K335" s="6" t="n">
        <v>0</v>
      </c>
      <c r="L335" s="5" t="n">
        <v>56575</v>
      </c>
      <c r="M335" s="5" t="n">
        <v>66759</v>
      </c>
      <c r="N335" s="5">
        <f>ROUND(I335*J335*(1-K335),0)</f>
        <v/>
      </c>
    </row>
    <row r="336">
      <c r="A336" t="inlineStr">
        <is>
          <t>T05-250901-101915</t>
        </is>
      </c>
      <c r="B336" s="4" t="n">
        <v>45901</v>
      </c>
      <c r="C336" t="inlineStr">
        <is>
          <t>17:32</t>
        </is>
      </c>
      <c r="D336" t="inlineStr">
        <is>
          <t>Magasin 5 — Kaya Marché</t>
        </is>
      </c>
      <c r="E336" t="inlineStr">
        <is>
          <t>Moussa Ilboudo</t>
        </is>
      </c>
      <c r="F336" t="n">
        <v>18478</v>
      </c>
      <c r="G336" t="inlineStr">
        <is>
          <t>Ciment CPJ35 50 kg — réf 1</t>
        </is>
      </c>
      <c r="H336" t="inlineStr">
        <is>
          <t>Matériaux</t>
        </is>
      </c>
      <c r="I336" t="n">
        <v>7</v>
      </c>
      <c r="J336" s="5" t="n">
        <v>6000</v>
      </c>
      <c r="K336" s="6" t="n">
        <v>0.04</v>
      </c>
      <c r="L336" s="5" t="n">
        <v>40320</v>
      </c>
      <c r="M336" s="5" t="n">
        <v>47578</v>
      </c>
      <c r="N336" s="5">
        <f>ROUND(I336*J336*(1-K336),0)</f>
        <v/>
      </c>
    </row>
    <row r="337">
      <c r="A337" t="inlineStr">
        <is>
          <t>T05-250901-101916</t>
        </is>
      </c>
      <c r="B337" s="4" t="n">
        <v>45901</v>
      </c>
      <c r="C337" t="inlineStr">
        <is>
          <t>14:22</t>
        </is>
      </c>
      <c r="D337" t="inlineStr">
        <is>
          <t>Magasin 5 — Kaya Marché</t>
        </is>
      </c>
      <c r="E337" t="inlineStr">
        <is>
          <t>Boureima Ouédraogo</t>
        </is>
      </c>
      <c r="F337" t="n">
        <v>8744</v>
      </c>
      <c r="G337" t="inlineStr">
        <is>
          <t>Brouette 90 L — réf 1</t>
        </is>
      </c>
      <c r="H337" t="inlineStr">
        <is>
          <t>Consommables</t>
        </is>
      </c>
      <c r="I337" t="n">
        <v>4</v>
      </c>
      <c r="J337" s="5" t="n">
        <v>5050</v>
      </c>
      <c r="K337" s="6" t="n">
        <v>0.04</v>
      </c>
      <c r="L337" s="5" t="n">
        <v>19392</v>
      </c>
      <c r="M337" s="5" t="n">
        <v>22883</v>
      </c>
      <c r="N337" s="5">
        <f>ROUND(I337*J337*(1-K337),0)</f>
        <v/>
      </c>
    </row>
    <row r="338">
      <c r="A338" t="inlineStr">
        <is>
          <t>T05-250901-101916</t>
        </is>
      </c>
      <c r="B338" s="4" t="n">
        <v>45901</v>
      </c>
      <c r="C338" t="inlineStr">
        <is>
          <t>09:33</t>
        </is>
      </c>
      <c r="D338" t="inlineStr">
        <is>
          <t>Magasin 5 — Kaya Marché</t>
        </is>
      </c>
      <c r="E338" t="inlineStr">
        <is>
          <t>Moussa Ilboudo</t>
        </is>
      </c>
      <c r="F338" t="n">
        <v>0</v>
      </c>
      <c r="G338" t="inlineStr">
        <is>
          <t>Brouette 90 L — réf 1</t>
        </is>
      </c>
      <c r="H338" t="inlineStr">
        <is>
          <t>Consommables</t>
        </is>
      </c>
      <c r="I338" t="n">
        <v>13</v>
      </c>
      <c r="J338" s="5" t="n">
        <v>5200</v>
      </c>
      <c r="K338" s="6" t="n">
        <v>0</v>
      </c>
      <c r="L338" s="5" t="n">
        <v>67600</v>
      </c>
      <c r="M338" s="5" t="n">
        <v>79768</v>
      </c>
      <c r="N338" s="5">
        <f>ROUND(I338*J338*(1-K338),0)</f>
        <v/>
      </c>
    </row>
    <row r="339">
      <c r="A339" t="inlineStr">
        <is>
          <t>T05-250901-101916</t>
        </is>
      </c>
      <c r="B339" s="4" t="n">
        <v>45901</v>
      </c>
      <c r="C339" t="inlineStr">
        <is>
          <t>14:49</t>
        </is>
      </c>
      <c r="D339" t="inlineStr">
        <is>
          <t>Magasin 5 — Kaya Marché</t>
        </is>
      </c>
      <c r="E339" t="inlineStr">
        <is>
          <t>Moussa Ilboudo</t>
        </is>
      </c>
      <c r="F339" t="n">
        <v>5480</v>
      </c>
      <c r="G339" t="inlineStr">
        <is>
          <t>Peinture glycéro 1 L — réf 1</t>
        </is>
      </c>
      <c r="H339" t="inlineStr">
        <is>
          <t>Peinture</t>
        </is>
      </c>
      <c r="I339" t="n">
        <v>4</v>
      </c>
      <c r="J339" s="5" t="n">
        <v>3175</v>
      </c>
      <c r="K339" s="6" t="n">
        <v>0</v>
      </c>
      <c r="L339" s="5" t="n">
        <v>12700</v>
      </c>
      <c r="M339" s="5" t="n">
        <v>14986</v>
      </c>
      <c r="N339" s="5">
        <f>ROUND(I339*J339*(1-K339),0)</f>
        <v/>
      </c>
    </row>
    <row r="340">
      <c r="A340" t="inlineStr">
        <is>
          <t>T05-250901-101917</t>
        </is>
      </c>
      <c r="B340" s="4" t="n">
        <v>45901</v>
      </c>
      <c r="C340" t="inlineStr">
        <is>
          <t>14:45</t>
        </is>
      </c>
      <c r="D340" t="inlineStr">
        <is>
          <t>Magasin 5 — Kaya Marché</t>
        </is>
      </c>
      <c r="E340" t="inlineStr">
        <is>
          <t>Adama Bationo</t>
        </is>
      </c>
      <c r="F340" t="n">
        <v>5882</v>
      </c>
      <c r="G340" t="inlineStr">
        <is>
          <t>Marteau de menuisier — réf 2</t>
        </is>
      </c>
      <c r="H340" t="inlineStr">
        <is>
          <t>Quincaillerie</t>
        </is>
      </c>
      <c r="I340" t="n">
        <v>6</v>
      </c>
      <c r="J340" s="5" t="n">
        <v>8650</v>
      </c>
      <c r="K340" s="6" t="n">
        <v>0.08</v>
      </c>
      <c r="L340" s="5" t="n">
        <v>47748</v>
      </c>
      <c r="M340" s="5" t="n">
        <v>56343</v>
      </c>
      <c r="N340" s="5">
        <f>ROUND(I340*J340*(1-K340),0)</f>
        <v/>
      </c>
    </row>
    <row r="341">
      <c r="A341" t="inlineStr">
        <is>
          <t>T05-250901-101917</t>
        </is>
      </c>
      <c r="B341" s="4" t="n">
        <v>45901</v>
      </c>
      <c r="C341" t="inlineStr">
        <is>
          <t>11:54</t>
        </is>
      </c>
      <c r="D341" t="inlineStr">
        <is>
          <t>Magasin 5 — Kaya Marché</t>
        </is>
      </c>
      <c r="E341" t="inlineStr">
        <is>
          <t>Boureima Ouédraogo</t>
        </is>
      </c>
      <c r="F341" t="n">
        <v>5046</v>
      </c>
      <c r="G341" t="inlineStr">
        <is>
          <t>Brique de terre cuite — réf 2</t>
        </is>
      </c>
      <c r="H341" t="inlineStr">
        <is>
          <t>Matériaux</t>
        </is>
      </c>
      <c r="I341" t="n">
        <v>3</v>
      </c>
      <c r="J341" s="5" t="n">
        <v>675</v>
      </c>
      <c r="K341" s="6" t="n">
        <v>0</v>
      </c>
      <c r="L341" s="5" t="n">
        <v>2025</v>
      </c>
      <c r="M341" s="5" t="n">
        <v>2389</v>
      </c>
      <c r="N341" s="5">
        <f>ROUND(I341*J341*(1-K341),0)</f>
        <v/>
      </c>
    </row>
    <row r="342">
      <c r="A342" t="inlineStr">
        <is>
          <t>T05-250901-101917</t>
        </is>
      </c>
      <c r="B342" s="4" t="n">
        <v>45901</v>
      </c>
      <c r="C342" t="inlineStr">
        <is>
          <t>07:30</t>
        </is>
      </c>
      <c r="D342" t="inlineStr">
        <is>
          <t>Magasin 5 — Kaya Marché</t>
        </is>
      </c>
      <c r="E342" t="inlineStr">
        <is>
          <t>Salamatu Sankara</t>
        </is>
      </c>
      <c r="F342" t="n">
        <v>0</v>
      </c>
      <c r="G342" t="inlineStr">
        <is>
          <t>Ballon d'eau chaude 50 L — réf 2</t>
        </is>
      </c>
      <c r="H342" t="inlineStr">
        <is>
          <t>Plomberie</t>
        </is>
      </c>
      <c r="I342" t="n">
        <v>7</v>
      </c>
      <c r="J342" s="5" t="n">
        <v>36150</v>
      </c>
      <c r="K342" s="6" t="n">
        <v>0</v>
      </c>
      <c r="L342" s="5" t="n">
        <v>253050</v>
      </c>
      <c r="M342" s="5" t="n">
        <v>298599</v>
      </c>
      <c r="N342" s="5">
        <f>ROUND(I342*J342*(1-K342),0)</f>
        <v/>
      </c>
    </row>
    <row r="343">
      <c r="A343" t="inlineStr">
        <is>
          <t>T05-250901-101918</t>
        </is>
      </c>
      <c r="B343" s="4" t="n">
        <v>45901</v>
      </c>
      <c r="C343" t="inlineStr">
        <is>
          <t>14:21</t>
        </is>
      </c>
      <c r="D343" t="inlineStr">
        <is>
          <t>Magasin 5 — Kaya Marché</t>
        </is>
      </c>
      <c r="E343" t="inlineStr">
        <is>
          <t>Moussa Ilboudo</t>
        </is>
      </c>
      <c r="F343" t="n">
        <v>0</v>
      </c>
      <c r="G343" t="inlineStr">
        <is>
          <t>Baguette de finition 2,4 m — réf 1</t>
        </is>
      </c>
      <c r="H343" t="inlineStr">
        <is>
          <t>Bois &amp; panneaux</t>
        </is>
      </c>
      <c r="I343" t="n">
        <v>5</v>
      </c>
      <c r="J343" s="5" t="n">
        <v>10950</v>
      </c>
      <c r="K343" s="6" t="n">
        <v>0</v>
      </c>
      <c r="L343" s="5" t="n">
        <v>54750</v>
      </c>
      <c r="M343" s="5" t="n">
        <v>64605</v>
      </c>
      <c r="N343" s="5">
        <f>ROUND(I343*J343*(1-K343),0)</f>
        <v/>
      </c>
    </row>
    <row r="344">
      <c r="A344" t="inlineStr">
        <is>
          <t>T05-250901-101918</t>
        </is>
      </c>
      <c r="B344" s="4" t="n">
        <v>45901</v>
      </c>
      <c r="C344" t="inlineStr">
        <is>
          <t>12:18</t>
        </is>
      </c>
      <c r="D344" t="inlineStr">
        <is>
          <t>Magasin 5 — Kaya Marché</t>
        </is>
      </c>
      <c r="E344" t="inlineStr">
        <is>
          <t>Boureima Ouédraogo</t>
        </is>
      </c>
      <c r="F344" t="inlineStr"/>
      <c r="G344" t="inlineStr">
        <is>
          <t>Lavabo céramique — réf 2</t>
        </is>
      </c>
      <c r="H344" t="inlineStr">
        <is>
          <t>Plomberie</t>
        </is>
      </c>
      <c r="I344" t="n">
        <v>1</v>
      </c>
      <c r="J344" s="5" t="n">
        <v>39725</v>
      </c>
      <c r="K344" s="6" t="n">
        <v>0.04</v>
      </c>
      <c r="L344" s="5" t="n">
        <v>38136</v>
      </c>
      <c r="M344" s="5" t="n">
        <v>45000</v>
      </c>
      <c r="N344" s="5">
        <f>ROUND(I344*J344*(1-K344),0)</f>
        <v/>
      </c>
    </row>
    <row r="345">
      <c r="A345" t="inlineStr">
        <is>
          <t>T05-250901-101918</t>
        </is>
      </c>
      <c r="B345" s="4" t="n">
        <v>45901</v>
      </c>
      <c r="C345" t="inlineStr">
        <is>
          <t>07:38</t>
        </is>
      </c>
      <c r="D345" t="inlineStr">
        <is>
          <t>Magasin 5 — Kaya Marché</t>
        </is>
      </c>
      <c r="E345" t="inlineStr">
        <is>
          <t>Salamatu Sankara</t>
        </is>
      </c>
      <c r="F345" t="n">
        <v>1635</v>
      </c>
      <c r="G345" t="inlineStr">
        <is>
          <t>Vis à bois 4x40 (boîte) — réf 1</t>
        </is>
      </c>
      <c r="H345" t="inlineStr">
        <is>
          <t>Quincaillerie</t>
        </is>
      </c>
      <c r="I345" t="n">
        <v>-13</v>
      </c>
      <c r="J345" s="5" t="n">
        <v>1750</v>
      </c>
      <c r="K345" s="6" t="n">
        <v>0.04</v>
      </c>
      <c r="L345" s="5" t="n">
        <v>-21840</v>
      </c>
      <c r="M345" s="5" t="n">
        <v>-25771</v>
      </c>
      <c r="N345" s="5">
        <f>ROUND(I345*J345*(1-K345),0)</f>
        <v/>
      </c>
    </row>
    <row r="346">
      <c r="A346" t="inlineStr">
        <is>
          <t>T05-250901-101919</t>
        </is>
      </c>
      <c r="B346" s="4" t="n">
        <v>45901</v>
      </c>
      <c r="C346" t="inlineStr">
        <is>
          <t>10:04</t>
        </is>
      </c>
      <c r="D346" t="inlineStr">
        <is>
          <t>Magasin 5 — Kaya Marché</t>
        </is>
      </c>
      <c r="E346" t="inlineStr">
        <is>
          <t>Adama Bationo</t>
        </is>
      </c>
      <c r="F346" t="n">
        <v>1359</v>
      </c>
      <c r="G346" t="inlineStr">
        <is>
          <t>Meuleuse 125 mm — réf 2</t>
        </is>
      </c>
      <c r="H346" t="inlineStr">
        <is>
          <t>Quincaillerie</t>
        </is>
      </c>
      <c r="I346" t="n">
        <v>8</v>
      </c>
      <c r="J346" s="5" t="n">
        <v>5800</v>
      </c>
      <c r="K346" s="6" t="n">
        <v>0</v>
      </c>
      <c r="L346" s="5" t="n">
        <v>46400</v>
      </c>
      <c r="M346" s="5" t="n">
        <v>54752</v>
      </c>
      <c r="N346" s="5">
        <f>ROUND(I346*J346*(1-K346),0)</f>
        <v/>
      </c>
    </row>
    <row r="347">
      <c r="A347" t="inlineStr">
        <is>
          <t>T05-250901-101919</t>
        </is>
      </c>
      <c r="B347" s="4" t="n">
        <v>45901</v>
      </c>
      <c r="C347" t="inlineStr">
        <is>
          <t>07:05</t>
        </is>
      </c>
      <c r="D347" t="inlineStr">
        <is>
          <t>Magasin 5 — Kaya Marché</t>
        </is>
      </c>
      <c r="E347" t="inlineStr">
        <is>
          <t>Moussa Ilboudo</t>
        </is>
      </c>
      <c r="F347" t="n">
        <v>0</v>
      </c>
      <c r="G347" t="inlineStr">
        <is>
          <t>Plâtre de construction 25 kg — réf 2</t>
        </is>
      </c>
      <c r="H347" t="inlineStr">
        <is>
          <t>Matériaux</t>
        </is>
      </c>
      <c r="I347" t="n">
        <v>2</v>
      </c>
      <c r="J347" s="5" t="n">
        <v>6000</v>
      </c>
      <c r="K347" s="6" t="n">
        <v>0</v>
      </c>
      <c r="L347" s="5" t="n">
        <v>12000</v>
      </c>
      <c r="M347" s="5" t="n">
        <v>14160</v>
      </c>
      <c r="N347" s="5">
        <f>ROUND(I347*J347*(1-K347),0)</f>
        <v/>
      </c>
    </row>
    <row r="348">
      <c r="A348" t="inlineStr">
        <is>
          <t>T05-250901-101919</t>
        </is>
      </c>
      <c r="B348" s="4" t="n">
        <v>45901</v>
      </c>
      <c r="C348" t="inlineStr">
        <is>
          <t>17:51</t>
        </is>
      </c>
      <c r="D348" t="inlineStr">
        <is>
          <t>Magasin 5 — Kaya Marché</t>
        </is>
      </c>
      <c r="E348" t="inlineStr">
        <is>
          <t>Moussa Ilboudo</t>
        </is>
      </c>
      <c r="F348" t="n">
        <v>17387</v>
      </c>
      <c r="G348" t="inlineStr">
        <is>
          <t>Parpaing 15 aggloméré — réf 1</t>
        </is>
      </c>
      <c r="H348" t="inlineStr">
        <is>
          <t>Matériaux</t>
        </is>
      </c>
      <c r="I348" t="n">
        <v>9</v>
      </c>
      <c r="J348" s="5" t="n">
        <v>1500</v>
      </c>
      <c r="K348" s="6" t="n">
        <v>0</v>
      </c>
      <c r="L348" s="5" t="n">
        <v>13500</v>
      </c>
      <c r="M348" s="5" t="n">
        <v>15930</v>
      </c>
      <c r="N348" s="5">
        <f>ROUND(I348*J348*(1-K348),0)</f>
        <v/>
      </c>
    </row>
    <row r="349">
      <c r="A349" t="inlineStr">
        <is>
          <t>T05-250901-101920</t>
        </is>
      </c>
      <c r="B349" s="4" t="n">
        <v>45901</v>
      </c>
      <c r="C349" t="inlineStr">
        <is>
          <t>18:24</t>
        </is>
      </c>
      <c r="D349" t="inlineStr">
        <is>
          <t>Magasin 5 — Kaya Marché</t>
        </is>
      </c>
      <c r="E349" t="inlineStr">
        <is>
          <t>Adama Bationo</t>
        </is>
      </c>
      <c r="F349" t="n">
        <v>21989</v>
      </c>
      <c r="G349" t="inlineStr">
        <is>
          <t>Té fonte 100 — réf 1</t>
        </is>
      </c>
      <c r="H349" t="inlineStr">
        <is>
          <t>Plomberie</t>
        </is>
      </c>
      <c r="I349" t="n">
        <v>11</v>
      </c>
      <c r="J349" s="5" t="n">
        <v>3125</v>
      </c>
      <c r="K349" s="6" t="n">
        <v>0.08</v>
      </c>
      <c r="L349" s="5" t="n">
        <v>31625</v>
      </c>
      <c r="M349" s="5" t="n">
        <v>37317</v>
      </c>
      <c r="N349" s="5">
        <f>ROUND(I349*J349*(1-K349),0)</f>
        <v/>
      </c>
    </row>
    <row r="350">
      <c r="A350" t="inlineStr">
        <is>
          <t>T05-250901-101920</t>
        </is>
      </c>
      <c r="B350" s="4" t="n">
        <v>45901</v>
      </c>
      <c r="C350" t="inlineStr">
        <is>
          <t>13:53</t>
        </is>
      </c>
      <c r="D350" t="inlineStr">
        <is>
          <t>Magasin 5 — Kaya Marché</t>
        </is>
      </c>
      <c r="E350" t="inlineStr">
        <is>
          <t>Boureima Ouédraogo</t>
        </is>
      </c>
      <c r="F350" t="n">
        <v>0</v>
      </c>
      <c r="G350" t="inlineStr">
        <is>
          <t>Raccord laiton 20/27 — réf 1</t>
        </is>
      </c>
      <c r="H350" t="inlineStr">
        <is>
          <t>Plomberie</t>
        </is>
      </c>
      <c r="I350" t="n">
        <v>3</v>
      </c>
      <c r="J350" s="5" t="n">
        <v>4725</v>
      </c>
      <c r="K350" s="6" t="n">
        <v>0</v>
      </c>
      <c r="L350" s="5" t="n">
        <v>14175</v>
      </c>
      <c r="M350" s="5" t="n">
        <v>16727</v>
      </c>
      <c r="N350" s="5">
        <f>ROUND(I350*J350*(1-K350),0)</f>
        <v/>
      </c>
    </row>
    <row r="351">
      <c r="A351" t="inlineStr">
        <is>
          <t>T05-250902-102024</t>
        </is>
      </c>
      <c r="B351" s="4" t="n">
        <v>45902</v>
      </c>
      <c r="C351" t="inlineStr">
        <is>
          <t>09:30</t>
        </is>
      </c>
      <c r="D351" t="inlineStr">
        <is>
          <t>Magasin 5 — Kaya Marché</t>
        </is>
      </c>
      <c r="E351" t="inlineStr">
        <is>
          <t>Boureima Ouédraogo</t>
        </is>
      </c>
      <c r="F351" t="n">
        <v>11109</v>
      </c>
      <c r="G351" t="inlineStr">
        <is>
          <t>Câble 2x1,5 (rouleau 100 m) — réf 1</t>
        </is>
      </c>
      <c r="H351" t="inlineStr">
        <is>
          <t>Electricité</t>
        </is>
      </c>
      <c r="I351" t="n">
        <v>7</v>
      </c>
      <c r="J351" s="5" t="n">
        <v>12400</v>
      </c>
      <c r="K351" s="6" t="n">
        <v>0.04</v>
      </c>
      <c r="L351" s="5" t="n">
        <v>83328</v>
      </c>
      <c r="M351" s="5" t="n">
        <v>98327</v>
      </c>
      <c r="N351" s="5">
        <f>ROUND(I351*J351*(1-K351),0)</f>
        <v/>
      </c>
    </row>
    <row r="352">
      <c r="A352" t="inlineStr">
        <is>
          <t>T05-250902-102024</t>
        </is>
      </c>
      <c r="B352" s="4" t="n">
        <v>45902</v>
      </c>
      <c r="C352" t="inlineStr">
        <is>
          <t>09:30</t>
        </is>
      </c>
      <c r="D352" t="inlineStr">
        <is>
          <t>Magasin 5 — Kaya Marché</t>
        </is>
      </c>
      <c r="E352" t="inlineStr">
        <is>
          <t>Boureima Ouédraogo</t>
        </is>
      </c>
      <c r="F352" t="n">
        <v>1616</v>
      </c>
      <c r="G352" t="inlineStr">
        <is>
          <t>Enduit de lissage 20 kg — réf 1</t>
        </is>
      </c>
      <c r="H352" t="inlineStr">
        <is>
          <t>Matériaux</t>
        </is>
      </c>
      <c r="I352" t="n">
        <v>3</v>
      </c>
      <c r="J352" s="5" t="n">
        <v>7500</v>
      </c>
      <c r="K352" s="6" t="n">
        <v>0.04</v>
      </c>
      <c r="L352" s="5" t="n">
        <v>21600</v>
      </c>
      <c r="M352" s="5" t="n">
        <v>25488</v>
      </c>
      <c r="N352" s="5">
        <f>ROUND(I352*J352*(1-K352),0)</f>
        <v/>
      </c>
    </row>
    <row r="353">
      <c r="A353" t="inlineStr">
        <is>
          <t>T05-250902-102024</t>
        </is>
      </c>
      <c r="B353" s="4" t="n">
        <v>45902</v>
      </c>
      <c r="C353" t="inlineStr">
        <is>
          <t>10:43</t>
        </is>
      </c>
      <c r="D353" t="inlineStr">
        <is>
          <t>Magasin 5 — Kaya Marché</t>
        </is>
      </c>
      <c r="E353" t="inlineStr">
        <is>
          <t>Moussa Ilboudo</t>
        </is>
      </c>
      <c r="F353" t="n">
        <v>14729</v>
      </c>
      <c r="G353" t="inlineStr">
        <is>
          <t>Écrou hexagonal 10 (sachet) — réf 1</t>
        </is>
      </c>
      <c r="H353" t="inlineStr">
        <is>
          <t>Quincaillerie</t>
        </is>
      </c>
      <c r="I353" t="n">
        <v>4</v>
      </c>
      <c r="J353" s="5" t="n">
        <v>1450</v>
      </c>
      <c r="K353" s="6" t="n">
        <v>0.04</v>
      </c>
      <c r="L353" s="5" t="n">
        <v>5568</v>
      </c>
      <c r="M353" s="5" t="n">
        <v>6570</v>
      </c>
      <c r="N353" s="5">
        <f>ROUND(I353*J353*(1-K353),0)</f>
        <v/>
      </c>
    </row>
    <row r="354">
      <c r="A354" t="inlineStr">
        <is>
          <t>T05-250902-102025</t>
        </is>
      </c>
      <c r="B354" s="4" t="n">
        <v>45902</v>
      </c>
      <c r="C354" t="inlineStr">
        <is>
          <t>18:05</t>
        </is>
      </c>
      <c r="D354" t="inlineStr">
        <is>
          <t>Magasin 5 — Kaya Marché</t>
        </is>
      </c>
      <c r="E354" t="inlineStr">
        <is>
          <t>Salamatu Sankara</t>
        </is>
      </c>
      <c r="F354" t="n">
        <v>1462</v>
      </c>
      <c r="G354" t="inlineStr">
        <is>
          <t>Antirouille rouge brique 1 L — réf 1</t>
        </is>
      </c>
      <c r="H354" t="inlineStr">
        <is>
          <t>Peinture</t>
        </is>
      </c>
      <c r="I354" t="n">
        <v>15</v>
      </c>
      <c r="J354" s="5" t="n">
        <v>5000</v>
      </c>
      <c r="K354" s="6" t="n">
        <v>0</v>
      </c>
      <c r="L354" s="5" t="n">
        <v>75000</v>
      </c>
      <c r="M354" s="5" t="n">
        <v>88500</v>
      </c>
      <c r="N354" s="5">
        <f>ROUND(I354*J354*(1-K354),0)</f>
        <v/>
      </c>
    </row>
    <row r="355">
      <c r="A355" t="inlineStr">
        <is>
          <t>T05-250902-102025</t>
        </is>
      </c>
      <c r="B355" s="4" t="n">
        <v>45902</v>
      </c>
      <c r="C355" t="inlineStr">
        <is>
          <t>11:35</t>
        </is>
      </c>
      <c r="D355" t="inlineStr">
        <is>
          <t>Magasin 5 — Kaya Marché</t>
        </is>
      </c>
      <c r="E355" t="inlineStr">
        <is>
          <t>Adama Bationo</t>
        </is>
      </c>
      <c r="F355" t="n">
        <v>9061</v>
      </c>
      <c r="G355" t="inlineStr">
        <is>
          <t>Batterie à décharge lente 120 Ah — réf 2</t>
        </is>
      </c>
      <c r="H355" t="inlineStr">
        <is>
          <t>Electricité</t>
        </is>
      </c>
      <c r="I355" t="n">
        <v>2</v>
      </c>
      <c r="J355" s="5" t="n">
        <v>19375</v>
      </c>
      <c r="K355" s="6" t="n">
        <v>0</v>
      </c>
      <c r="L355" s="5" t="n">
        <v>38750</v>
      </c>
      <c r="M355" s="5" t="n">
        <v>45725</v>
      </c>
      <c r="N355" s="5">
        <f>ROUND(I355*J355*(1-K355),0)</f>
        <v/>
      </c>
    </row>
    <row r="356">
      <c r="A356" t="inlineStr">
        <is>
          <t>T05-250902-102026</t>
        </is>
      </c>
      <c r="B356" s="4" t="n">
        <v>45902</v>
      </c>
      <c r="C356" t="inlineStr">
        <is>
          <t>18:29</t>
        </is>
      </c>
      <c r="D356" t="inlineStr">
        <is>
          <t>Magasin 5 — Kaya Marché</t>
        </is>
      </c>
      <c r="E356" t="inlineStr">
        <is>
          <t>Adama Bationo</t>
        </is>
      </c>
      <c r="F356" t="n">
        <v>0</v>
      </c>
      <c r="G356" t="inlineStr">
        <is>
          <t>Lame de lambris 4 m — réf 2</t>
        </is>
      </c>
      <c r="H356" t="inlineStr">
        <is>
          <t>Bois &amp; panneaux</t>
        </is>
      </c>
      <c r="I356" t="n">
        <v>68</v>
      </c>
      <c r="J356" s="5" t="n">
        <v>15325</v>
      </c>
      <c r="K356" s="6" t="n">
        <v>0</v>
      </c>
      <c r="L356" s="5" t="n">
        <v>1042100</v>
      </c>
      <c r="M356" s="5" t="n">
        <v>1229678</v>
      </c>
      <c r="N356" s="5">
        <f>ROUND(I356*J356*(1-K356),0)</f>
        <v/>
      </c>
    </row>
    <row r="357">
      <c r="A357" t="inlineStr">
        <is>
          <t>T05-250902-102026</t>
        </is>
      </c>
      <c r="B357" s="4" t="n">
        <v>45902</v>
      </c>
      <c r="C357" t="inlineStr">
        <is>
          <t>08:00</t>
        </is>
      </c>
      <c r="D357" t="inlineStr">
        <is>
          <t>Magasin 5 — Kaya Marché</t>
        </is>
      </c>
      <c r="E357" t="inlineStr">
        <is>
          <t>Adama Bationo</t>
        </is>
      </c>
      <c r="F357" t="n">
        <v>4171</v>
      </c>
      <c r="G357" t="inlineStr">
        <is>
          <t>Tout-venant (m3) — réf 1</t>
        </is>
      </c>
      <c r="H357" t="inlineStr">
        <is>
          <t>Matériaux</t>
        </is>
      </c>
      <c r="I357" t="n">
        <v>6</v>
      </c>
      <c r="J357" s="5" t="n">
        <v>16100</v>
      </c>
      <c r="K357" s="6" t="n">
        <v>0</v>
      </c>
      <c r="L357" s="5" t="n">
        <v>96600</v>
      </c>
      <c r="M357" s="5" t="n">
        <v>113988</v>
      </c>
      <c r="N357" s="5">
        <f>ROUND(I357*J357*(1-K357),0)</f>
        <v/>
      </c>
    </row>
    <row r="358">
      <c r="A358" t="inlineStr">
        <is>
          <t>T05-250902-102027</t>
        </is>
      </c>
      <c r="B358" s="4" t="n">
        <v>45902</v>
      </c>
      <c r="C358" t="inlineStr">
        <is>
          <t>15:08</t>
        </is>
      </c>
      <c r="D358" t="inlineStr">
        <is>
          <t>Magasin 5 — Kaya Marché</t>
        </is>
      </c>
      <c r="E358" t="inlineStr">
        <is>
          <t>Boureima Ouédraogo</t>
        </is>
      </c>
      <c r="F358" t="n">
        <v>13902</v>
      </c>
      <c r="G358" t="inlineStr">
        <is>
          <t>Tout-venant (m3) — réf 2</t>
        </is>
      </c>
      <c r="H358" t="inlineStr">
        <is>
          <t>Matériaux</t>
        </is>
      </c>
      <c r="I358" t="n">
        <v>2</v>
      </c>
      <c r="J358" s="5" t="n">
        <v>23150</v>
      </c>
      <c r="K358" s="6" t="n">
        <v>0</v>
      </c>
      <c r="L358" s="5" t="n">
        <v>46300</v>
      </c>
      <c r="M358" s="5" t="n">
        <v>54634</v>
      </c>
      <c r="N358" s="5">
        <f>ROUND(I358*J358*(1-K358),0)</f>
        <v/>
      </c>
    </row>
    <row r="359">
      <c r="A359" t="inlineStr">
        <is>
          <t>T05-250902-102027</t>
        </is>
      </c>
      <c r="B359" s="4" t="n">
        <v>45902</v>
      </c>
      <c r="C359" t="inlineStr">
        <is>
          <t>12:52</t>
        </is>
      </c>
      <c r="D359" t="inlineStr">
        <is>
          <t>Magasin 5 — Kaya Marché</t>
        </is>
      </c>
      <c r="E359" t="inlineStr">
        <is>
          <t>Salamatu Sankara</t>
        </is>
      </c>
      <c r="F359" t="n">
        <v>261</v>
      </c>
      <c r="G359" t="inlineStr">
        <is>
          <t>Plaque de plâtre 13 mm — réf 2</t>
        </is>
      </c>
      <c r="H359" t="inlineStr">
        <is>
          <t>Bois &amp; panneaux</t>
        </is>
      </c>
      <c r="I359" t="n">
        <v>10</v>
      </c>
      <c r="J359" s="5" t="n">
        <v>14125</v>
      </c>
      <c r="K359" s="6" t="n">
        <v>0</v>
      </c>
      <c r="L359" s="5" t="n">
        <v>141250</v>
      </c>
      <c r="M359" s="5" t="n">
        <v>166675</v>
      </c>
      <c r="N359" s="5">
        <f>ROUND(I359*J359*(1-K359),0)</f>
        <v/>
      </c>
    </row>
    <row r="360">
      <c r="A360" t="inlineStr">
        <is>
          <t>T05-250902-102028</t>
        </is>
      </c>
      <c r="B360" s="4" t="n">
        <v>45902</v>
      </c>
      <c r="C360" t="inlineStr">
        <is>
          <t>18:44</t>
        </is>
      </c>
      <c r="D360" t="inlineStr">
        <is>
          <t>Magasin 5 — Kaya Marché</t>
        </is>
      </c>
      <c r="E360" t="inlineStr">
        <is>
          <t>Moussa Ilboudo</t>
        </is>
      </c>
      <c r="F360" t="n">
        <v>5090</v>
      </c>
      <c r="G360" t="inlineStr">
        <is>
          <t>Perforateur 800 W — réf 2</t>
        </is>
      </c>
      <c r="H360" t="inlineStr">
        <is>
          <t>Quincaillerie</t>
        </is>
      </c>
      <c r="I360" t="n">
        <v>5</v>
      </c>
      <c r="J360" s="5" t="n">
        <v>5725</v>
      </c>
      <c r="K360" s="6" t="n">
        <v>0.04</v>
      </c>
      <c r="L360" s="5" t="n">
        <v>27480</v>
      </c>
      <c r="M360" s="5" t="n">
        <v>32426</v>
      </c>
      <c r="N360" s="5">
        <f>ROUND(I360*J360*(1-K360),0)</f>
        <v/>
      </c>
    </row>
    <row r="361">
      <c r="A361" t="inlineStr">
        <is>
          <t>T05-250902-102028</t>
        </is>
      </c>
      <c r="B361" s="4" t="n">
        <v>45902</v>
      </c>
      <c r="C361" t="inlineStr">
        <is>
          <t>14:02</t>
        </is>
      </c>
      <c r="D361" t="inlineStr">
        <is>
          <t>Magasin 5 — Kaya Marché</t>
        </is>
      </c>
      <c r="E361" t="inlineStr">
        <is>
          <t>Salamatu Sankara</t>
        </is>
      </c>
      <c r="F361" t="n">
        <v>14457</v>
      </c>
      <c r="G361" t="inlineStr">
        <is>
          <t>Ciment CPJ35 50 kg — réf 1</t>
        </is>
      </c>
      <c r="H361" t="inlineStr">
        <is>
          <t>Matériaux</t>
        </is>
      </c>
      <c r="I361" t="n">
        <v>3</v>
      </c>
      <c r="J361" s="5" t="n">
        <v>6325</v>
      </c>
      <c r="K361" s="6" t="n">
        <v>0.04</v>
      </c>
      <c r="L361" s="5" t="n">
        <v>18216</v>
      </c>
      <c r="M361" s="5" t="n">
        <v>21495</v>
      </c>
      <c r="N361" s="5">
        <f>ROUND(I361*J361*(1-K361),0)</f>
        <v/>
      </c>
    </row>
    <row r="362">
      <c r="A362" t="inlineStr">
        <is>
          <t>T05-251001-105441</t>
        </is>
      </c>
      <c r="B362" s="4" t="n">
        <v>45931</v>
      </c>
      <c r="C362" t="inlineStr">
        <is>
          <t>07:38</t>
        </is>
      </c>
      <c r="D362" t="inlineStr">
        <is>
          <t>Magasin 5 — Kaya Marché</t>
        </is>
      </c>
      <c r="E362" t="inlineStr">
        <is>
          <t>Salamatu Sankara</t>
        </is>
      </c>
      <c r="F362" t="n">
        <v>4030</v>
      </c>
      <c r="G362" t="inlineStr">
        <is>
          <t>Carreau de pavement 40x40 — réf 1</t>
        </is>
      </c>
      <c r="H362" t="inlineStr">
        <is>
          <t>Matériaux</t>
        </is>
      </c>
      <c r="I362" t="n">
        <v>12</v>
      </c>
      <c r="J362" s="5" t="n">
        <v>1050</v>
      </c>
      <c r="K362" s="6" t="n">
        <v>0</v>
      </c>
      <c r="L362" s="5" t="n">
        <v>12600</v>
      </c>
      <c r="M362" s="5" t="n">
        <v>14868</v>
      </c>
      <c r="N362" s="5">
        <f>ROUND(I362*J362*(1-K362),0)</f>
        <v/>
      </c>
    </row>
    <row r="363">
      <c r="A363" t="inlineStr">
        <is>
          <t>T05-251001-105442</t>
        </is>
      </c>
      <c r="B363" s="4" t="n">
        <v>45931</v>
      </c>
      <c r="C363" t="inlineStr">
        <is>
          <t>10:16</t>
        </is>
      </c>
      <c r="D363" t="inlineStr">
        <is>
          <t>Magasin 5 — Kaya Marché</t>
        </is>
      </c>
      <c r="E363" t="inlineStr">
        <is>
          <t>Moussa Ilboudo</t>
        </is>
      </c>
      <c r="F363" t="n">
        <v>4524</v>
      </c>
      <c r="G363" t="inlineStr">
        <is>
          <t>Douille E27 avec cordon — réf 1</t>
        </is>
      </c>
      <c r="H363" t="inlineStr">
        <is>
          <t>Electricité</t>
        </is>
      </c>
      <c r="I363" t="n">
        <v>3</v>
      </c>
      <c r="J363" s="5" t="n">
        <v>12075</v>
      </c>
      <c r="K363" s="6" t="n">
        <v>0</v>
      </c>
      <c r="L363" s="5" t="n">
        <v>36225</v>
      </c>
      <c r="M363" s="5" t="n">
        <v>42745</v>
      </c>
      <c r="N363" s="5">
        <f>ROUND(I363*J363*(1-K363),0)</f>
        <v/>
      </c>
    </row>
    <row r="364">
      <c r="A364" t="inlineStr">
        <is>
          <t>T05-251001-105443</t>
        </is>
      </c>
      <c r="B364" s="4" t="n">
        <v>45931</v>
      </c>
      <c r="C364" t="inlineStr">
        <is>
          <t>09:59</t>
        </is>
      </c>
      <c r="D364" t="inlineStr">
        <is>
          <t>Magasin 5 — Kaya Marché</t>
        </is>
      </c>
      <c r="E364" t="inlineStr">
        <is>
          <t>Moussa Ilboudo</t>
        </is>
      </c>
      <c r="F364" t="n">
        <v>0</v>
      </c>
      <c r="G364" t="inlineStr">
        <is>
          <t>Tout-venant (m3) — réf 1</t>
        </is>
      </c>
      <c r="H364" t="inlineStr">
        <is>
          <t>Matériaux</t>
        </is>
      </c>
      <c r="I364" t="n">
        <v>2</v>
      </c>
      <c r="J364" s="5" t="n">
        <v>16075</v>
      </c>
      <c r="K364" s="6" t="n">
        <v>0</v>
      </c>
      <c r="L364" s="5" t="n">
        <v>32150</v>
      </c>
      <c r="M364" s="5" t="n">
        <v>37937</v>
      </c>
      <c r="N364" s="5">
        <f>ROUND(I364*J364*(1-K364),0)</f>
        <v/>
      </c>
    </row>
    <row r="365">
      <c r="A365" t="inlineStr">
        <is>
          <t>T05-251001-105444</t>
        </is>
      </c>
      <c r="B365" s="4" t="n">
        <v>45931</v>
      </c>
      <c r="C365" t="inlineStr">
        <is>
          <t>17:22</t>
        </is>
      </c>
      <c r="D365" t="inlineStr">
        <is>
          <t>Magasin 5 — Kaya Marché</t>
        </is>
      </c>
      <c r="E365" t="inlineStr">
        <is>
          <t>Salamatu Sankara</t>
        </is>
      </c>
      <c r="F365" t="n">
        <v>7110</v>
      </c>
      <c r="G365" t="inlineStr">
        <is>
          <t>Chaux aérienne 25 kg — réf 1</t>
        </is>
      </c>
      <c r="H365" t="inlineStr">
        <is>
          <t>Matériaux</t>
        </is>
      </c>
      <c r="I365" t="n">
        <v>11</v>
      </c>
      <c r="J365" s="5" t="n">
        <v>5050</v>
      </c>
      <c r="K365" s="6" t="n">
        <v>0.04</v>
      </c>
      <c r="L365" s="5" t="n">
        <v>53328</v>
      </c>
      <c r="M365" s="5" t="n">
        <v>62927</v>
      </c>
      <c r="N365" s="5">
        <f>ROUND(I365*J365*(1-K365),0)</f>
        <v/>
      </c>
    </row>
    <row r="366">
      <c r="A366" t="inlineStr">
        <is>
          <t>T05-251001-105445</t>
        </is>
      </c>
      <c r="B366" s="4" t="n">
        <v>45931</v>
      </c>
      <c r="C366" t="inlineStr">
        <is>
          <t>17:46</t>
        </is>
      </c>
      <c r="D366" t="inlineStr">
        <is>
          <t>Magasin 5 — Kaya Marché</t>
        </is>
      </c>
      <c r="E366" t="inlineStr">
        <is>
          <t>Salamatu Sankara</t>
        </is>
      </c>
      <c r="F366" t="n">
        <v>0</v>
      </c>
      <c r="G366" t="inlineStr">
        <is>
          <t>Vis à bois 4x40 (boîte) — réf 1</t>
        </is>
      </c>
      <c r="H366" t="inlineStr">
        <is>
          <t>Quincaillerie</t>
        </is>
      </c>
      <c r="I366" t="n">
        <v>12</v>
      </c>
      <c r="J366" s="5" t="n">
        <v>1825</v>
      </c>
      <c r="K366" s="6" t="n">
        <v>0</v>
      </c>
      <c r="L366" s="5" t="n">
        <v>21900</v>
      </c>
      <c r="M366" s="5" t="n">
        <v>25842</v>
      </c>
      <c r="N366" s="5">
        <f>ROUND(I366*J366*(1-K366),0)</f>
        <v/>
      </c>
    </row>
    <row r="367">
      <c r="A367" t="inlineStr">
        <is>
          <t>T05-251001-105446</t>
        </is>
      </c>
      <c r="B367" s="4" t="n">
        <v>45931</v>
      </c>
      <c r="C367" t="inlineStr">
        <is>
          <t>15:58</t>
        </is>
      </c>
      <c r="D367" t="inlineStr">
        <is>
          <t>Magasin 5 — Kaya Marché</t>
        </is>
      </c>
      <c r="E367" t="inlineStr">
        <is>
          <t>Moussa Ilboudo</t>
        </is>
      </c>
      <c r="F367" t="n">
        <v>3818</v>
      </c>
      <c r="G367" t="inlineStr">
        <is>
          <t>Pelle carrée — réf 1</t>
        </is>
      </c>
      <c r="H367" t="inlineStr">
        <is>
          <t>Consommables</t>
        </is>
      </c>
      <c r="I367" t="n">
        <v>6</v>
      </c>
      <c r="J367" s="5" t="n">
        <v>9250</v>
      </c>
      <c r="K367" s="6" t="n">
        <v>0</v>
      </c>
      <c r="L367" s="5" t="n">
        <v>55500</v>
      </c>
      <c r="M367" s="5" t="n">
        <v>65490</v>
      </c>
      <c r="N367" s="5">
        <f>ROUND(I367*J367*(1-K367),0)</f>
        <v/>
      </c>
    </row>
    <row r="368">
      <c r="A368" t="inlineStr">
        <is>
          <t>T05-251001-105447</t>
        </is>
      </c>
      <c r="B368" s="4" t="n">
        <v>45931</v>
      </c>
      <c r="C368" t="inlineStr">
        <is>
          <t>07:07</t>
        </is>
      </c>
      <c r="D368" t="inlineStr">
        <is>
          <t>Magasin 5 — Kaya Marché</t>
        </is>
      </c>
      <c r="E368" t="inlineStr">
        <is>
          <t>Salamatu Sankara</t>
        </is>
      </c>
      <c r="F368" t="n">
        <v>1357</v>
      </c>
      <c r="G368" t="inlineStr">
        <is>
          <t>Câble 3x2,5 (rouleau 100 m) — réf 1</t>
        </is>
      </c>
      <c r="H368" t="inlineStr">
        <is>
          <t>Electricité</t>
        </is>
      </c>
      <c r="I368" t="n">
        <v>34</v>
      </c>
      <c r="J368" s="5" t="n">
        <v>10975</v>
      </c>
      <c r="K368" s="6" t="n">
        <v>0</v>
      </c>
      <c r="L368" s="5" t="n">
        <v>373150</v>
      </c>
      <c r="M368" s="5" t="n">
        <v>440317</v>
      </c>
      <c r="N368" s="5">
        <f>ROUND(I368*J368*(1-K368),0)</f>
        <v/>
      </c>
    </row>
    <row r="369">
      <c r="A369" t="inlineStr">
        <is>
          <t>T05-251001-105448</t>
        </is>
      </c>
      <c r="B369" s="4" t="n">
        <v>45931</v>
      </c>
      <c r="C369" t="inlineStr">
        <is>
          <t>09:32</t>
        </is>
      </c>
      <c r="D369" t="inlineStr">
        <is>
          <t>Magasin 5 — Kaya Marché</t>
        </is>
      </c>
      <c r="E369" t="inlineStr">
        <is>
          <t>Adama Bationo</t>
        </is>
      </c>
      <c r="F369" t="n">
        <v>0</v>
      </c>
      <c r="G369" t="inlineStr">
        <is>
          <t>Tout-venant (m3) — réf 1</t>
        </is>
      </c>
      <c r="H369" t="inlineStr">
        <is>
          <t>Matériaux</t>
        </is>
      </c>
      <c r="I369" t="n">
        <v>2</v>
      </c>
      <c r="J369" s="5" t="n">
        <v>15800</v>
      </c>
      <c r="K369" s="6" t="n">
        <v>0</v>
      </c>
      <c r="L369" s="5" t="n">
        <v>31600</v>
      </c>
      <c r="M369" s="5" t="n">
        <v>37288</v>
      </c>
      <c r="N369" s="5">
        <f>ROUND(I369*J369*(1-K369),0)</f>
        <v/>
      </c>
    </row>
    <row r="370">
      <c r="A370" t="inlineStr">
        <is>
          <t>T05-251001-105449</t>
        </is>
      </c>
      <c r="B370" s="4" t="n">
        <v>45931</v>
      </c>
      <c r="C370" t="inlineStr">
        <is>
          <t>15:59</t>
        </is>
      </c>
      <c r="D370" t="inlineStr">
        <is>
          <t>Magasin 5 — Kaya Marché</t>
        </is>
      </c>
      <c r="E370" t="inlineStr">
        <is>
          <t>Adama Bationo</t>
        </is>
      </c>
      <c r="F370" t="n">
        <v>9530</v>
      </c>
      <c r="G370" t="inlineStr">
        <is>
          <t>Douille E27 avec cordon — réf 2</t>
        </is>
      </c>
      <c r="H370" t="inlineStr">
        <is>
          <t>Electricité</t>
        </is>
      </c>
      <c r="I370" t="n">
        <v>4</v>
      </c>
      <c r="J370" s="5" t="n">
        <v>18625</v>
      </c>
      <c r="K370" s="6" t="n">
        <v>0.04</v>
      </c>
      <c r="L370" s="5" t="n">
        <v>71520</v>
      </c>
      <c r="M370" s="5" t="n">
        <v>84394</v>
      </c>
      <c r="N370" s="5">
        <f>ROUND(I370*J370*(1-K370),0)</f>
        <v/>
      </c>
    </row>
    <row r="371">
      <c r="A371" t="inlineStr">
        <is>
          <t>T05-251001-105450</t>
        </is>
      </c>
      <c r="B371" s="4" t="n">
        <v>45931</v>
      </c>
      <c r="C371" t="inlineStr">
        <is>
          <t>08:05</t>
        </is>
      </c>
      <c r="D371" t="inlineStr">
        <is>
          <t>Magasin 5 — Kaya Marché</t>
        </is>
      </c>
      <c r="E371" t="inlineStr">
        <is>
          <t>Boureima Ouédraogo</t>
        </is>
      </c>
      <c r="F371" t="n">
        <v>0</v>
      </c>
      <c r="G371" t="inlineStr">
        <is>
          <t>Bêche à manche bois — réf 1</t>
        </is>
      </c>
      <c r="H371" t="inlineStr">
        <is>
          <t>Consommables</t>
        </is>
      </c>
      <c r="I371" t="n">
        <v>3</v>
      </c>
      <c r="J371" s="5" t="n">
        <v>5175</v>
      </c>
      <c r="K371" s="6" t="n">
        <v>0</v>
      </c>
      <c r="L371" s="5" t="n">
        <v>15525</v>
      </c>
      <c r="M371" s="5" t="n">
        <v>18319</v>
      </c>
      <c r="N371" s="5">
        <f>ROUND(I371*J371*(1-K371),0)</f>
        <v/>
      </c>
    </row>
    <row r="372">
      <c r="A372" t="inlineStr">
        <is>
          <t>T05-251001-105451</t>
        </is>
      </c>
      <c r="B372" s="4" t="n">
        <v>45931</v>
      </c>
      <c r="C372" t="inlineStr">
        <is>
          <t>08:35</t>
        </is>
      </c>
      <c r="D372" t="inlineStr">
        <is>
          <t>Magasin 5 — Kaya Marché</t>
        </is>
      </c>
      <c r="E372" t="inlineStr">
        <is>
          <t>Adama Bationo</t>
        </is>
      </c>
      <c r="F372" t="n">
        <v>5926</v>
      </c>
      <c r="G372" t="inlineStr">
        <is>
          <t>Niveau à bulle 600 mm — réf 1</t>
        </is>
      </c>
      <c r="H372" t="inlineStr">
        <is>
          <t>Quincaillerie</t>
        </is>
      </c>
      <c r="I372" t="n">
        <v>6</v>
      </c>
      <c r="J372" s="5" t="n">
        <v>9400</v>
      </c>
      <c r="K372" s="6" t="n">
        <v>0.04</v>
      </c>
      <c r="L372" s="5" t="n">
        <v>54144</v>
      </c>
      <c r="M372" s="5" t="n">
        <v>63890</v>
      </c>
      <c r="N372" s="5">
        <f>ROUND(I372*J372*(1-K372),0)</f>
        <v/>
      </c>
    </row>
    <row r="373">
      <c r="A373" t="inlineStr">
        <is>
          <t>T05-251001-105452</t>
        </is>
      </c>
      <c r="B373" s="4" t="n">
        <v>45931</v>
      </c>
      <c r="C373" t="inlineStr">
        <is>
          <t>08:20</t>
        </is>
      </c>
      <c r="D373" t="inlineStr">
        <is>
          <t>Magasin 5 — Kaya Marché</t>
        </is>
      </c>
      <c r="E373" t="inlineStr">
        <is>
          <t>Adama Bationo</t>
        </is>
      </c>
      <c r="F373" t="n">
        <v>3800</v>
      </c>
      <c r="G373" t="inlineStr">
        <is>
          <t>Ballon d'eau chaude 50 L — réf 1</t>
        </is>
      </c>
      <c r="H373" t="inlineStr">
        <is>
          <t>Plomberie</t>
        </is>
      </c>
      <c r="I373" t="n">
        <v>7</v>
      </c>
      <c r="J373" s="5" t="n">
        <v>33225</v>
      </c>
      <c r="K373" s="6" t="n">
        <v>0</v>
      </c>
      <c r="L373" s="5" t="n">
        <v>232575</v>
      </c>
      <c r="M373" s="5" t="n">
        <v>274439</v>
      </c>
      <c r="N373" s="5">
        <f>ROUND(I373*J373*(1-K373),0)</f>
        <v/>
      </c>
    </row>
    <row r="374">
      <c r="A374" t="inlineStr">
        <is>
          <t>T05-251001-105453</t>
        </is>
      </c>
      <c r="B374" s="4" t="n">
        <v>45931</v>
      </c>
      <c r="C374" t="inlineStr">
        <is>
          <t>13:09</t>
        </is>
      </c>
      <c r="D374" t="inlineStr">
        <is>
          <t>Magasin 5 — Kaya Marché</t>
        </is>
      </c>
      <c r="E374" t="inlineStr">
        <is>
          <t>Moussa Ilboudo</t>
        </is>
      </c>
      <c r="F374" t="n">
        <v>20810</v>
      </c>
      <c r="G374" t="inlineStr">
        <is>
          <t>Boulon HM 10x40 (boîte) — réf 1</t>
        </is>
      </c>
      <c r="H374" t="inlineStr">
        <is>
          <t>Quincaillerie</t>
        </is>
      </c>
      <c r="I374" t="n">
        <v>14</v>
      </c>
      <c r="J374" s="5" t="n">
        <v>2000</v>
      </c>
      <c r="K374" s="6" t="n">
        <v>0.04</v>
      </c>
      <c r="L374" s="5" t="n">
        <v>26880</v>
      </c>
      <c r="M374" s="5" t="n">
        <v>31718</v>
      </c>
      <c r="N374" s="5">
        <f>ROUND(I374*J374*(1-K374),0)</f>
        <v/>
      </c>
    </row>
    <row r="375">
      <c r="A375" t="inlineStr">
        <is>
          <t>T05-251001-105454</t>
        </is>
      </c>
      <c r="B375" s="4" t="n">
        <v>45931</v>
      </c>
      <c r="C375" t="inlineStr">
        <is>
          <t>15:44</t>
        </is>
      </c>
      <c r="D375" t="inlineStr">
        <is>
          <t>Magasin 5 — Kaya Marché</t>
        </is>
      </c>
      <c r="E375" t="inlineStr">
        <is>
          <t>Boureima Ouédraogo</t>
        </is>
      </c>
      <c r="F375" t="n">
        <v>15037</v>
      </c>
      <c r="G375" t="inlineStr">
        <is>
          <t>Robinet mitigeur évier — réf 2</t>
        </is>
      </c>
      <c r="H375" t="inlineStr">
        <is>
          <t>Plomberie</t>
        </is>
      </c>
      <c r="I375" t="n">
        <v>5</v>
      </c>
      <c r="J375" s="5" t="n">
        <v>35475</v>
      </c>
      <c r="K375" s="6" t="n">
        <v>0.08</v>
      </c>
      <c r="L375" s="5" t="n">
        <v>163185</v>
      </c>
      <c r="M375" s="5" t="n">
        <v>192558</v>
      </c>
      <c r="N375" s="5">
        <f>ROUND(I375*J375*(1-K375),0)</f>
        <v/>
      </c>
    </row>
    <row r="376">
      <c r="A376" t="inlineStr">
        <is>
          <t>T05-251001-105455</t>
        </is>
      </c>
      <c r="B376" s="4" t="n">
        <v>45931</v>
      </c>
      <c r="C376" t="inlineStr">
        <is>
          <t>11:41</t>
        </is>
      </c>
      <c r="D376" t="inlineStr">
        <is>
          <t>Magasin 5 — Kaya Marché</t>
        </is>
      </c>
      <c r="E376" t="inlineStr">
        <is>
          <t>Adama Bationo</t>
        </is>
      </c>
      <c r="F376" t="n">
        <v>19427</v>
      </c>
      <c r="G376" t="inlineStr">
        <is>
          <t>Sable de rivière (m3) — réf 2</t>
        </is>
      </c>
      <c r="H376" t="inlineStr">
        <is>
          <t>Matériaux</t>
        </is>
      </c>
      <c r="I376" t="n">
        <v>2</v>
      </c>
      <c r="J376" s="5" t="n">
        <v>26250</v>
      </c>
      <c r="K376" s="6" t="n">
        <v>0</v>
      </c>
      <c r="L376" s="5" t="n">
        <v>52500</v>
      </c>
      <c r="M376" s="5" t="n">
        <v>61950</v>
      </c>
      <c r="N376" s="5">
        <f>ROUND(I376*J376*(1-K376),0)</f>
        <v/>
      </c>
    </row>
    <row r="377">
      <c r="A377" t="inlineStr">
        <is>
          <t>T05-251001-105456</t>
        </is>
      </c>
      <c r="B377" s="4" t="n">
        <v>45931</v>
      </c>
      <c r="C377" t="inlineStr">
        <is>
          <t>10:29</t>
        </is>
      </c>
      <c r="D377" t="inlineStr">
        <is>
          <t>Magasin 5 — Kaya Marché</t>
        </is>
      </c>
      <c r="E377" t="inlineStr">
        <is>
          <t>Adama Bationo</t>
        </is>
      </c>
      <c r="F377" t="n">
        <v>12000</v>
      </c>
      <c r="G377" t="inlineStr">
        <is>
          <t>Colle à carrelage 25 kg — réf 2</t>
        </is>
      </c>
      <c r="H377" t="inlineStr">
        <is>
          <t>Matériaux</t>
        </is>
      </c>
      <c r="I377" t="n">
        <v>16</v>
      </c>
      <c r="J377" s="5" t="n">
        <v>4325</v>
      </c>
      <c r="K377" s="6" t="n">
        <v>0</v>
      </c>
      <c r="L377" s="5" t="n">
        <v>69200</v>
      </c>
      <c r="M377" s="5" t="n">
        <v>81656</v>
      </c>
      <c r="N377" s="5">
        <f>ROUND(I377*J377*(1-K377),0)</f>
        <v/>
      </c>
    </row>
    <row r="378">
      <c r="A378" t="inlineStr">
        <is>
          <t>T05-251001-105457</t>
        </is>
      </c>
      <c r="B378" s="4" t="n">
        <v>45931</v>
      </c>
      <c r="C378" t="inlineStr">
        <is>
          <t>14:42</t>
        </is>
      </c>
      <c r="D378" t="inlineStr">
        <is>
          <t>Magasin 5 — Kaya Marché</t>
        </is>
      </c>
      <c r="E378" t="inlineStr">
        <is>
          <t>Moussa Ilboudo</t>
        </is>
      </c>
      <c r="F378" t="n">
        <v>6445</v>
      </c>
      <c r="G378" t="inlineStr">
        <is>
          <t>Raccord laiton 20/27 — réf 1</t>
        </is>
      </c>
      <c r="H378" t="inlineStr">
        <is>
          <t>Plomberie</t>
        </is>
      </c>
      <c r="I378" t="n">
        <v>1</v>
      </c>
      <c r="J378" s="5" t="n">
        <v>4600</v>
      </c>
      <c r="K378" s="6" t="n">
        <v>0</v>
      </c>
      <c r="L378" s="5" t="n">
        <v>4600</v>
      </c>
      <c r="M378" s="5" t="n">
        <v>5428</v>
      </c>
      <c r="N378" s="5">
        <f>ROUND(I378*J378*(1-K378),0)</f>
        <v/>
      </c>
    </row>
    <row r="379">
      <c r="A379" t="inlineStr">
        <is>
          <t>T05-251001-105458</t>
        </is>
      </c>
      <c r="B379" s="4" t="n">
        <v>45931</v>
      </c>
      <c r="C379" t="inlineStr">
        <is>
          <t>12:52</t>
        </is>
      </c>
      <c r="D379" t="inlineStr">
        <is>
          <t>Magasin 5 — Kaya Marché</t>
        </is>
      </c>
      <c r="E379" t="inlineStr">
        <is>
          <t>Boureima Ouédraogo</t>
        </is>
      </c>
      <c r="F379" t="n">
        <v>1508</v>
      </c>
      <c r="G379" t="inlineStr">
        <is>
          <t>Lame de lambris 4 m — réf 1</t>
        </is>
      </c>
      <c r="H379" t="inlineStr">
        <is>
          <t>Bois &amp; panneaux</t>
        </is>
      </c>
      <c r="I379" t="n">
        <v>4</v>
      </c>
      <c r="J379" s="5" t="n">
        <v>10800</v>
      </c>
      <c r="K379" s="6" t="n">
        <v>0</v>
      </c>
      <c r="L379" s="5" t="n">
        <v>43200</v>
      </c>
      <c r="M379" s="5" t="n">
        <v>50976</v>
      </c>
      <c r="N379" s="5">
        <f>ROUND(I379*J379*(1-K379),0)</f>
        <v/>
      </c>
    </row>
    <row r="380">
      <c r="A380" t="inlineStr">
        <is>
          <t>T05-251001-105459</t>
        </is>
      </c>
      <c r="B380" s="4" t="n">
        <v>45931</v>
      </c>
      <c r="C380" t="inlineStr">
        <is>
          <t>17:19</t>
        </is>
      </c>
      <c r="D380" t="inlineStr">
        <is>
          <t>Magasin 5 — Kaya Marché</t>
        </is>
      </c>
      <c r="E380" t="inlineStr">
        <is>
          <t>Salamatu Sankara</t>
        </is>
      </c>
      <c r="F380" t="n">
        <v>1472</v>
      </c>
      <c r="G380" t="inlineStr">
        <is>
          <t>Tournevis cruciforme PH2 — réf 2</t>
        </is>
      </c>
      <c r="H380" t="inlineStr">
        <is>
          <t>Quincaillerie</t>
        </is>
      </c>
      <c r="I380" t="n">
        <v>1</v>
      </c>
      <c r="J380" s="5" t="n">
        <v>6325</v>
      </c>
      <c r="K380" s="6" t="n">
        <v>0</v>
      </c>
      <c r="L380" s="5" t="n">
        <v>6325</v>
      </c>
      <c r="M380" s="5" t="n">
        <v>7463</v>
      </c>
      <c r="N380" s="5">
        <f>ROUND(I380*J380*(1-K380),0)</f>
        <v/>
      </c>
    </row>
    <row r="381">
      <c r="A381" t="inlineStr">
        <is>
          <t>T05-251001-105460</t>
        </is>
      </c>
      <c r="B381" s="4" t="n">
        <v>45931</v>
      </c>
      <c r="C381" t="inlineStr">
        <is>
          <t>08:48</t>
        </is>
      </c>
      <c r="D381" t="inlineStr">
        <is>
          <t>Magasin 5 — Kaya Marché</t>
        </is>
      </c>
      <c r="E381" t="inlineStr">
        <is>
          <t>Moussa Ilboudo</t>
        </is>
      </c>
      <c r="F381" t="n">
        <v>8718</v>
      </c>
      <c r="G381" t="inlineStr">
        <is>
          <t>Perforateur 800 W — réf 1</t>
        </is>
      </c>
      <c r="H381" t="inlineStr">
        <is>
          <t>Quincaillerie</t>
        </is>
      </c>
      <c r="I381" t="n">
        <v>4</v>
      </c>
      <c r="J381" s="5" t="n">
        <v>8125</v>
      </c>
      <c r="K381" s="6" t="n">
        <v>0</v>
      </c>
      <c r="L381" s="5" t="n">
        <v>32500</v>
      </c>
      <c r="M381" s="5" t="n">
        <v>38350</v>
      </c>
      <c r="N381" s="5">
        <f>ROUND(I381*J381*(1-K381),0)</f>
        <v/>
      </c>
    </row>
    <row r="382">
      <c r="A382" t="inlineStr">
        <is>
          <t>T05-251001-105461</t>
        </is>
      </c>
      <c r="B382" s="4" t="n">
        <v>45931</v>
      </c>
      <c r="C382" t="inlineStr">
        <is>
          <t>17:17</t>
        </is>
      </c>
      <c r="D382" t="inlineStr">
        <is>
          <t>Magasin 5 — Kaya Marché</t>
        </is>
      </c>
      <c r="E382" t="inlineStr">
        <is>
          <t>Boureima Ouédraogo</t>
        </is>
      </c>
      <c r="F382" t="n">
        <v>18776</v>
      </c>
      <c r="G382" t="inlineStr">
        <is>
          <t>Tube PER 16x2 (rouleau) — réf 2</t>
        </is>
      </c>
      <c r="H382" t="inlineStr">
        <is>
          <t>Plomberie</t>
        </is>
      </c>
      <c r="I382" t="n">
        <v>15</v>
      </c>
      <c r="J382" s="5" t="n">
        <v>3275</v>
      </c>
      <c r="K382" s="6" t="n">
        <v>0.03</v>
      </c>
      <c r="L382" s="5" t="n">
        <v>47651</v>
      </c>
      <c r="M382" s="5" t="n">
        <v>56228</v>
      </c>
      <c r="N382" s="5">
        <f>ROUND(I382*J382*(1-K382),0)</f>
        <v/>
      </c>
    </row>
    <row r="383">
      <c r="A383" t="inlineStr">
        <is>
          <t>T05-251001-105462</t>
        </is>
      </c>
      <c r="B383" s="4" t="n">
        <v>45931</v>
      </c>
      <c r="C383" t="inlineStr">
        <is>
          <t>18:36</t>
        </is>
      </c>
      <c r="D383" t="inlineStr">
        <is>
          <t>Magasin 5 — Kaya Marché</t>
        </is>
      </c>
      <c r="E383" t="inlineStr">
        <is>
          <t>Moussa Ilboudo</t>
        </is>
      </c>
      <c r="F383" t="n">
        <v>21196</v>
      </c>
      <c r="G383" t="inlineStr">
        <is>
          <t>Lampe torche rechargeable — réf 2</t>
        </is>
      </c>
      <c r="H383" t="inlineStr">
        <is>
          <t>Electricité</t>
        </is>
      </c>
      <c r="I383" t="n">
        <v>3</v>
      </c>
      <c r="J383" s="5" t="n">
        <v>21400</v>
      </c>
      <c r="K383" s="6" t="n">
        <v>0.04</v>
      </c>
      <c r="L383" s="5" t="n">
        <v>61632</v>
      </c>
      <c r="M383" s="5" t="n">
        <v>72726</v>
      </c>
      <c r="N383" s="5">
        <f>ROUND(I383*J383*(1-K383),0)</f>
        <v/>
      </c>
    </row>
    <row r="384">
      <c r="A384" t="inlineStr">
        <is>
          <t>T05-251001-105463</t>
        </is>
      </c>
      <c r="B384" s="4" t="n">
        <v>45931</v>
      </c>
      <c r="C384" t="inlineStr">
        <is>
          <t>08:34</t>
        </is>
      </c>
      <c r="D384" t="inlineStr">
        <is>
          <t>Magasin 5 — Kaya Marché</t>
        </is>
      </c>
      <c r="E384" t="inlineStr">
        <is>
          <t>Boureima Ouédraogo</t>
        </is>
      </c>
      <c r="F384" t="n">
        <v>23188</v>
      </c>
      <c r="G384" t="inlineStr">
        <is>
          <t>Té fonte 100 — réf 1</t>
        </is>
      </c>
      <c r="H384" t="inlineStr">
        <is>
          <t>Plomberie</t>
        </is>
      </c>
      <c r="I384" t="n">
        <v>11</v>
      </c>
      <c r="J384" s="5" t="n">
        <v>3225</v>
      </c>
      <c r="K384" s="6" t="n">
        <v>0.04</v>
      </c>
      <c r="L384" s="5" t="n">
        <v>34056</v>
      </c>
      <c r="M384" s="5" t="n">
        <v>40186</v>
      </c>
      <c r="N384" s="5">
        <f>ROUND(I384*J384*(1-K384),0)</f>
        <v/>
      </c>
    </row>
    <row r="385">
      <c r="A385" t="inlineStr">
        <is>
          <t>T05-251001-105464</t>
        </is>
      </c>
      <c r="B385" s="4" t="n">
        <v>45931</v>
      </c>
      <c r="C385" t="inlineStr">
        <is>
          <t>13:51</t>
        </is>
      </c>
      <c r="D385" t="inlineStr">
        <is>
          <t>Magasin 5 — Kaya Marché</t>
        </is>
      </c>
      <c r="E385" t="inlineStr">
        <is>
          <t>Salamatu Sankara</t>
        </is>
      </c>
      <c r="F385" t="n">
        <v>21739</v>
      </c>
      <c r="G385" t="inlineStr">
        <is>
          <t>Pince coupante 200 mm — réf 2</t>
        </is>
      </c>
      <c r="H385" t="inlineStr">
        <is>
          <t>Quincaillerie</t>
        </is>
      </c>
      <c r="I385" t="n">
        <v>4</v>
      </c>
      <c r="J385" s="5" t="n">
        <v>10425</v>
      </c>
      <c r="K385" s="6" t="n">
        <v>0.04</v>
      </c>
      <c r="L385" s="5" t="n">
        <v>40032</v>
      </c>
      <c r="M385" s="5" t="n">
        <v>47238</v>
      </c>
      <c r="N385" s="5">
        <f>ROUND(I385*J385*(1-K385),0)</f>
        <v/>
      </c>
    </row>
    <row r="386">
      <c r="A386" t="inlineStr">
        <is>
          <t>T05-251002-105561</t>
        </is>
      </c>
      <c r="B386" s="4" t="n">
        <v>45932</v>
      </c>
      <c r="C386" t="inlineStr">
        <is>
          <t>10:16</t>
        </is>
      </c>
      <c r="D386" t="inlineStr">
        <is>
          <t>Magasin 5 — Kaya Marché</t>
        </is>
      </c>
      <c r="E386" t="inlineStr">
        <is>
          <t>Salamatu Sankara</t>
        </is>
      </c>
      <c r="F386" t="n">
        <v>1796</v>
      </c>
      <c r="G386" t="inlineStr">
        <is>
          <t>Fil de fer recuit (kg) — réf 1</t>
        </is>
      </c>
      <c r="H386" t="inlineStr">
        <is>
          <t>Quincaillerie</t>
        </is>
      </c>
      <c r="I386" t="n">
        <v>10</v>
      </c>
      <c r="J386" s="5" t="n">
        <v>1625</v>
      </c>
      <c r="K386" s="6" t="n">
        <v>0.04</v>
      </c>
      <c r="L386" s="5" t="n">
        <v>15600</v>
      </c>
      <c r="M386" s="5" t="n">
        <v>18408</v>
      </c>
      <c r="N386" s="5">
        <f>ROUND(I386*J386*(1-K386),0)</f>
        <v/>
      </c>
    </row>
    <row r="387">
      <c r="A387" t="inlineStr">
        <is>
          <t>T05-251002-105561</t>
        </is>
      </c>
      <c r="B387" s="4" t="n">
        <v>45932</v>
      </c>
      <c r="C387" t="inlineStr">
        <is>
          <t>18:31</t>
        </is>
      </c>
      <c r="D387" t="inlineStr">
        <is>
          <t>Magasin 5 — Kaya Marché</t>
        </is>
      </c>
      <c r="E387" t="inlineStr">
        <is>
          <t>Moussa Ilboudo</t>
        </is>
      </c>
      <c r="F387" t="n">
        <v>0</v>
      </c>
      <c r="G387" t="inlineStr">
        <is>
          <t>Colle à carrelage 25 kg — réf 2</t>
        </is>
      </c>
      <c r="H387" t="inlineStr">
        <is>
          <t>Matériaux</t>
        </is>
      </c>
      <c r="I387" t="n">
        <v>7</v>
      </c>
      <c r="J387" s="5" t="n">
        <v>4350</v>
      </c>
      <c r="K387" s="6" t="n">
        <v>0</v>
      </c>
      <c r="L387" s="5" t="n">
        <v>30450</v>
      </c>
      <c r="M387" s="5" t="n">
        <v>35931</v>
      </c>
      <c r="N387" s="5">
        <f>ROUND(I387*J387*(1-K387),0)</f>
        <v/>
      </c>
    </row>
    <row r="388">
      <c r="A388" t="inlineStr">
        <is>
          <t>T05-251002-105561</t>
        </is>
      </c>
      <c r="B388" s="4" t="n">
        <v>45932</v>
      </c>
      <c r="C388" t="inlineStr">
        <is>
          <t>14:06</t>
        </is>
      </c>
      <c r="D388" t="inlineStr">
        <is>
          <t>Magasin 5 — Kaya Marché</t>
        </is>
      </c>
      <c r="E388" t="inlineStr">
        <is>
          <t>Boureima Ouédraogo</t>
        </is>
      </c>
      <c r="F388" t="n">
        <v>22897</v>
      </c>
      <c r="G388" t="inlineStr">
        <is>
          <t>Batterie à décharge lente 120 Ah — réf 2</t>
        </is>
      </c>
      <c r="H388" t="inlineStr">
        <is>
          <t>Electricité</t>
        </is>
      </c>
      <c r="I388" t="n">
        <v>6</v>
      </c>
      <c r="J388" s="5" t="n">
        <v>18950</v>
      </c>
      <c r="K388" s="6" t="n">
        <v>0</v>
      </c>
      <c r="L388" s="5" t="n">
        <v>113700</v>
      </c>
      <c r="M388" s="5" t="n">
        <v>134166</v>
      </c>
      <c r="N388" s="5">
        <f>ROUND(I388*J388*(1-K388),0)</f>
        <v/>
      </c>
    </row>
    <row r="389">
      <c r="A389" t="inlineStr">
        <is>
          <t>T05-251002-105562</t>
        </is>
      </c>
      <c r="B389" s="4" t="n">
        <v>45932</v>
      </c>
      <c r="C389" t="inlineStr">
        <is>
          <t>09:18</t>
        </is>
      </c>
      <c r="D389" t="inlineStr">
        <is>
          <t>Magasin 5 — Kaya Marché</t>
        </is>
      </c>
      <c r="E389" t="inlineStr">
        <is>
          <t>Boureima Ouédraogo</t>
        </is>
      </c>
      <c r="F389" t="n">
        <v>3075</v>
      </c>
      <c r="G389" t="inlineStr">
        <is>
          <t>Câble 3x2,5 (rouleau 100 m) — réf 1</t>
        </is>
      </c>
      <c r="H389" t="inlineStr">
        <is>
          <t>Electricité</t>
        </is>
      </c>
      <c r="I389" t="n">
        <v>1</v>
      </c>
      <c r="J389" s="5" t="n">
        <v>11000</v>
      </c>
      <c r="K389" s="6" t="n">
        <v>0</v>
      </c>
      <c r="L389" s="5" t="n">
        <v>11000</v>
      </c>
      <c r="M389" s="5" t="n">
        <v>12980</v>
      </c>
      <c r="N389" s="5">
        <f>ROUND(I389*J389*(1-K389),0)</f>
        <v/>
      </c>
    </row>
    <row r="390">
      <c r="A390" t="inlineStr">
        <is>
          <t>T05-251002-105562</t>
        </is>
      </c>
      <c r="B390" s="4" t="n">
        <v>45932</v>
      </c>
      <c r="C390" t="inlineStr">
        <is>
          <t>18:27</t>
        </is>
      </c>
      <c r="D390" t="inlineStr">
        <is>
          <t>Magasin 5 — Kaya Marché</t>
        </is>
      </c>
      <c r="E390" t="inlineStr">
        <is>
          <t>Moussa Ilboudo</t>
        </is>
      </c>
      <c r="F390" t="n">
        <v>12037</v>
      </c>
      <c r="G390" t="inlineStr">
        <is>
          <t>Antirouille rouge brique 1 L — réf 1</t>
        </is>
      </c>
      <c r="H390" t="inlineStr">
        <is>
          <t>Peinture</t>
        </is>
      </c>
      <c r="I390" t="n">
        <v>18</v>
      </c>
      <c r="J390" s="5" t="n">
        <v>5025</v>
      </c>
      <c r="K390" s="6" t="n">
        <v>0.03</v>
      </c>
      <c r="L390" s="5" t="n">
        <v>87736</v>
      </c>
      <c r="M390" s="5" t="n">
        <v>103528</v>
      </c>
      <c r="N390" s="5">
        <f>ROUND(I390*J390*(1-K390),0)</f>
        <v/>
      </c>
    </row>
    <row r="391">
      <c r="A391" t="inlineStr">
        <is>
          <t>T05-251002-105562</t>
        </is>
      </c>
      <c r="B391" s="4" t="n">
        <v>45932</v>
      </c>
      <c r="C391" t="inlineStr">
        <is>
          <t>14:54</t>
        </is>
      </c>
      <c r="D391" t="inlineStr">
        <is>
          <t>Magasin 5 — Kaya Marché</t>
        </is>
      </c>
      <c r="E391" t="inlineStr">
        <is>
          <t>Moussa Ilboudo</t>
        </is>
      </c>
      <c r="F391" t="n">
        <v>0</v>
      </c>
      <c r="G391" t="inlineStr">
        <is>
          <t>Peinture acrylique blanc 10 L — réf 2</t>
        </is>
      </c>
      <c r="H391" t="inlineStr">
        <is>
          <t>Peinture</t>
        </is>
      </c>
      <c r="I391" t="n">
        <v>8</v>
      </c>
      <c r="J391" s="5" t="n">
        <v>6825</v>
      </c>
      <c r="K391" s="6" t="n">
        <v>0</v>
      </c>
      <c r="L391" s="5" t="n">
        <v>54600</v>
      </c>
      <c r="M391" s="5" t="n">
        <v>64428</v>
      </c>
      <c r="N391" s="5">
        <f>ROUND(I391*J391*(1-K391),0)</f>
        <v/>
      </c>
    </row>
    <row r="392">
      <c r="A392" t="inlineStr">
        <is>
          <t>T05-251002-105563</t>
        </is>
      </c>
      <c r="B392" s="4" t="n">
        <v>45932</v>
      </c>
      <c r="C392" t="inlineStr">
        <is>
          <t>12:47</t>
        </is>
      </c>
      <c r="D392" t="inlineStr">
        <is>
          <t>Magasin 5 — Kaya Marché</t>
        </is>
      </c>
      <c r="E392" t="inlineStr">
        <is>
          <t>Boureima Ouédraogo</t>
        </is>
      </c>
      <c r="F392" t="n">
        <v>22509</v>
      </c>
      <c r="G392" t="inlineStr">
        <is>
          <t>Lampe torche rechargeable — réf 1</t>
        </is>
      </c>
      <c r="H392" t="inlineStr">
        <is>
          <t>Electricité</t>
        </is>
      </c>
      <c r="I392" t="n">
        <v>2</v>
      </c>
      <c r="J392" s="5" t="n">
        <v>20550</v>
      </c>
      <c r="K392" s="6" t="n">
        <v>0.04</v>
      </c>
      <c r="L392" s="5" t="n">
        <v>39456</v>
      </c>
      <c r="M392" s="5" t="n">
        <v>46558</v>
      </c>
      <c r="N392" s="5">
        <f>ROUND(I392*J392*(1-K392),0)</f>
        <v/>
      </c>
    </row>
    <row r="393">
      <c r="A393" t="inlineStr">
        <is>
          <t>T05-251002-105563</t>
        </is>
      </c>
      <c r="B393" s="4" t="n">
        <v>45932</v>
      </c>
      <c r="C393" t="inlineStr">
        <is>
          <t>09:57</t>
        </is>
      </c>
      <c r="D393" t="inlineStr">
        <is>
          <t>Magasin 5 — Kaya Marché</t>
        </is>
      </c>
      <c r="E393" t="inlineStr">
        <is>
          <t>Moussa Ilboudo</t>
        </is>
      </c>
      <c r="F393" t="n">
        <v>1854</v>
      </c>
      <c r="G393" t="inlineStr">
        <is>
          <t>Pince coupante 200 mm — réf 1</t>
        </is>
      </c>
      <c r="H393" t="inlineStr">
        <is>
          <t>Quincaillerie</t>
        </is>
      </c>
      <c r="I393" t="n">
        <v>2</v>
      </c>
      <c r="J393" s="5" t="n">
        <v>5425</v>
      </c>
      <c r="K393" s="6" t="n">
        <v>0</v>
      </c>
      <c r="L393" s="5" t="n">
        <v>10850</v>
      </c>
      <c r="M393" s="5" t="n">
        <v>12803</v>
      </c>
      <c r="N393" s="5">
        <f>ROUND(I393*J393*(1-K393),0)</f>
        <v/>
      </c>
    </row>
    <row r="394">
      <c r="A394" t="inlineStr">
        <is>
          <t>T05-251002-105563</t>
        </is>
      </c>
      <c r="B394" s="4" t="n">
        <v>45932</v>
      </c>
      <c r="C394" t="inlineStr">
        <is>
          <t>11:00</t>
        </is>
      </c>
      <c r="D394" t="inlineStr">
        <is>
          <t>Magasin 5 — Kaya Marché</t>
        </is>
      </c>
      <c r="E394" t="inlineStr">
        <is>
          <t>Adama Bationo</t>
        </is>
      </c>
      <c r="F394" t="n">
        <v>22901</v>
      </c>
      <c r="G394" t="inlineStr">
        <is>
          <t>Robinet mitigeur évier — réf 1</t>
        </is>
      </c>
      <c r="H394" t="inlineStr">
        <is>
          <t>Plomberie</t>
        </is>
      </c>
      <c r="I394" t="n">
        <v>9</v>
      </c>
      <c r="J394" s="5" t="n">
        <v>32600</v>
      </c>
      <c r="K394" s="6" t="n">
        <v>0.04</v>
      </c>
      <c r="L394" s="5" t="n">
        <v>281664</v>
      </c>
      <c r="M394" s="5" t="n">
        <v>332364</v>
      </c>
      <c r="N394" s="5">
        <f>ROUND(I394*J394*(1-K394),0)</f>
        <v/>
      </c>
    </row>
    <row r="395">
      <c r="A395" t="inlineStr">
        <is>
          <t>T05-251002-105564</t>
        </is>
      </c>
      <c r="B395" s="4" t="n">
        <v>45932</v>
      </c>
      <c r="C395" t="inlineStr">
        <is>
          <t>13:43</t>
        </is>
      </c>
      <c r="D395" t="inlineStr">
        <is>
          <t>Magasin 5 — Kaya Marché</t>
        </is>
      </c>
      <c r="E395" t="inlineStr">
        <is>
          <t>Salamatu Sankara</t>
        </is>
      </c>
      <c r="F395" t="n">
        <v>16303</v>
      </c>
      <c r="G395" t="inlineStr">
        <is>
          <t>Pavé autobloquant — réf 2</t>
        </is>
      </c>
      <c r="H395" t="inlineStr">
        <is>
          <t>Matériaux</t>
        </is>
      </c>
      <c r="I395" t="n">
        <v>7</v>
      </c>
      <c r="J395" s="5" t="n">
        <v>700</v>
      </c>
      <c r="K395" s="6" t="n">
        <v>0</v>
      </c>
      <c r="L395" s="5" t="n">
        <v>4900</v>
      </c>
      <c r="M395" s="5" t="n">
        <v>5782</v>
      </c>
      <c r="N395" s="5">
        <f>ROUND(I395*J395*(1-K395),0)</f>
        <v/>
      </c>
    </row>
    <row r="396">
      <c r="A396" t="inlineStr">
        <is>
          <t>T05-251002-105564</t>
        </is>
      </c>
      <c r="B396" s="4" t="n">
        <v>45932</v>
      </c>
      <c r="C396" t="inlineStr">
        <is>
          <t>17:04</t>
        </is>
      </c>
      <c r="D396" t="inlineStr">
        <is>
          <t>Magasin 5 — Kaya Marché</t>
        </is>
      </c>
      <c r="E396" t="inlineStr">
        <is>
          <t>Moussa Ilboudo</t>
        </is>
      </c>
      <c r="F396" t="n">
        <v>14290</v>
      </c>
      <c r="G396" t="inlineStr">
        <is>
          <t>Pelle carrée — réf 1</t>
        </is>
      </c>
      <c r="H396" t="inlineStr">
        <is>
          <t>Consommables</t>
        </is>
      </c>
      <c r="I396" t="n">
        <v>1</v>
      </c>
      <c r="J396" s="5" t="n">
        <v>9450</v>
      </c>
      <c r="K396" s="6" t="n">
        <v>0.04</v>
      </c>
      <c r="L396" s="5" t="n">
        <v>9072</v>
      </c>
      <c r="M396" s="5" t="n">
        <v>10705</v>
      </c>
      <c r="N396" s="5">
        <f>ROUND(I396*J396*(1-K396),0)</f>
        <v/>
      </c>
    </row>
    <row r="397">
      <c r="A397" t="inlineStr">
        <is>
          <t>T05-251002-105564</t>
        </is>
      </c>
      <c r="B397" s="4" t="n">
        <v>45932</v>
      </c>
      <c r="C397" t="inlineStr">
        <is>
          <t>09:22</t>
        </is>
      </c>
      <c r="D397" t="inlineStr">
        <is>
          <t>Magasin 5 — Kaya Marché</t>
        </is>
      </c>
      <c r="E397" t="inlineStr">
        <is>
          <t>Boureima Ouédraogo</t>
        </is>
      </c>
      <c r="F397" t="n">
        <v>12577</v>
      </c>
      <c r="G397" t="inlineStr">
        <is>
          <t>Tout-venant (m3) — réf 1</t>
        </is>
      </c>
      <c r="H397" t="inlineStr">
        <is>
          <t>Matériaux</t>
        </is>
      </c>
      <c r="I397" t="n">
        <v>2</v>
      </c>
      <c r="J397" s="5" t="n">
        <v>15750</v>
      </c>
      <c r="K397" s="6" t="n">
        <v>0</v>
      </c>
      <c r="L397" s="5" t="n">
        <v>31500</v>
      </c>
      <c r="M397" s="5" t="n">
        <v>37170</v>
      </c>
      <c r="N397" s="5">
        <f>ROUND(I397*J397*(1-K397),0)</f>
        <v/>
      </c>
    </row>
    <row r="398">
      <c r="A398" t="inlineStr">
        <is>
          <t>T05-251002-105565</t>
        </is>
      </c>
      <c r="B398" s="4" t="n">
        <v>45932</v>
      </c>
      <c r="C398" t="inlineStr">
        <is>
          <t>14:42</t>
        </is>
      </c>
      <c r="D398" t="inlineStr">
        <is>
          <t>Magasin 5 — Kaya Marché</t>
        </is>
      </c>
      <c r="E398" t="inlineStr">
        <is>
          <t>Adama Bationo</t>
        </is>
      </c>
      <c r="F398" t="n">
        <v>8926</v>
      </c>
      <c r="G398" t="inlineStr">
        <is>
          <t>Cheville nylon 8 mm (sachet) — réf 2</t>
        </is>
      </c>
      <c r="H398" t="inlineStr">
        <is>
          <t>Quincaillerie</t>
        </is>
      </c>
      <c r="I398" t="n">
        <v>6</v>
      </c>
      <c r="J398" s="5" t="n">
        <v>2125</v>
      </c>
      <c r="K398" s="6" t="n">
        <v>0.04</v>
      </c>
      <c r="L398" s="5" t="n">
        <v>12240</v>
      </c>
      <c r="M398" s="5" t="n">
        <v>14443</v>
      </c>
      <c r="N398" s="5">
        <f>ROUND(I398*J398*(1-K398),0)</f>
        <v/>
      </c>
    </row>
    <row r="399">
      <c r="A399" t="inlineStr">
        <is>
          <t>T05-251002-105565</t>
        </is>
      </c>
      <c r="B399" s="4" t="n">
        <v>45932</v>
      </c>
      <c r="C399" t="inlineStr">
        <is>
          <t>08:31</t>
        </is>
      </c>
      <c r="D399" t="inlineStr">
        <is>
          <t>Magasin 5 — Kaya Marché</t>
        </is>
      </c>
      <c r="E399" t="inlineStr">
        <is>
          <t>Salamatu Sankara</t>
        </is>
      </c>
      <c r="F399" t="n">
        <v>0</v>
      </c>
      <c r="G399" t="inlineStr">
        <is>
          <t>Vis à bois 4x40 (boîte) — réf 2</t>
        </is>
      </c>
      <c r="H399" t="inlineStr">
        <is>
          <t>Quincaillerie</t>
        </is>
      </c>
      <c r="I399" t="n">
        <v>2</v>
      </c>
      <c r="J399" s="5" t="n">
        <v>1650</v>
      </c>
      <c r="K399" s="6" t="n">
        <v>0</v>
      </c>
      <c r="L399" s="5" t="n">
        <v>3300</v>
      </c>
      <c r="M399" s="5" t="n">
        <v>3894</v>
      </c>
      <c r="N399" s="5">
        <f>ROUND(I399*J399*(1-K399),0)</f>
        <v/>
      </c>
    </row>
    <row r="400">
      <c r="A400" t="inlineStr">
        <is>
          <t>T05-251002-105565</t>
        </is>
      </c>
      <c r="B400" s="4" t="n">
        <v>45932</v>
      </c>
      <c r="C400" t="inlineStr">
        <is>
          <t>10:47</t>
        </is>
      </c>
      <c r="D400" t="inlineStr">
        <is>
          <t>Magasin 5 — Kaya Marché</t>
        </is>
      </c>
      <c r="E400" t="inlineStr">
        <is>
          <t>Moussa Ilboudo</t>
        </is>
      </c>
      <c r="F400" t="n">
        <v>19885</v>
      </c>
      <c r="G400" t="inlineStr">
        <is>
          <t>Tout-venant (m3) — réf 1</t>
        </is>
      </c>
      <c r="H400" t="inlineStr">
        <is>
          <t>Matériaux</t>
        </is>
      </c>
      <c r="I400" t="n">
        <v>3</v>
      </c>
      <c r="J400" s="5" t="n">
        <v>16400</v>
      </c>
      <c r="K400" s="6" t="n">
        <v>0.04</v>
      </c>
      <c r="L400" s="5" t="n">
        <v>47232</v>
      </c>
      <c r="M400" s="5" t="n">
        <v>55734</v>
      </c>
      <c r="N400" s="5">
        <f>ROUND(I400*J400*(1-K400),0)</f>
        <v/>
      </c>
    </row>
    <row r="401">
      <c r="A401" t="inlineStr">
        <is>
          <t>T05-251002-105566</t>
        </is>
      </c>
      <c r="B401" s="4" t="n">
        <v>45932</v>
      </c>
      <c r="C401" t="inlineStr">
        <is>
          <t>08:55</t>
        </is>
      </c>
      <c r="D401" t="inlineStr">
        <is>
          <t>Magasin 5 — Kaya Marché</t>
        </is>
      </c>
      <c r="E401" t="inlineStr">
        <is>
          <t>Adama Bationo</t>
        </is>
      </c>
      <c r="F401" t="n">
        <v>0</v>
      </c>
      <c r="G401" t="inlineStr">
        <is>
          <t>Niveau à bulle 600 mm — réf 1</t>
        </is>
      </c>
      <c r="H401" t="inlineStr">
        <is>
          <t>Quincaillerie</t>
        </is>
      </c>
      <c r="I401" t="n">
        <v>6</v>
      </c>
      <c r="J401" s="5" t="n">
        <v>9075</v>
      </c>
      <c r="K401" s="6" t="n">
        <v>0</v>
      </c>
      <c r="L401" s="5" t="n">
        <v>54450</v>
      </c>
      <c r="M401" s="5" t="n">
        <v>64251</v>
      </c>
      <c r="N401" s="5">
        <f>ROUND(I401*J401*(1-K401),0)</f>
        <v/>
      </c>
    </row>
    <row r="402">
      <c r="A402" t="inlineStr">
        <is>
          <t>T05-251101-109861</t>
        </is>
      </c>
      <c r="B402" s="4" t="n">
        <v>45962</v>
      </c>
      <c r="C402" t="inlineStr">
        <is>
          <t>13:03</t>
        </is>
      </c>
      <c r="D402" t="inlineStr">
        <is>
          <t>Magasin 5 — Kaya Marché</t>
        </is>
      </c>
      <c r="E402" t="inlineStr">
        <is>
          <t>Salamatu Sankara</t>
        </is>
      </c>
      <c r="F402" t="n">
        <v>12973</v>
      </c>
      <c r="G402" t="inlineStr">
        <is>
          <t>Pince coupante 200 mm — réf 2</t>
        </is>
      </c>
      <c r="H402" t="inlineStr">
        <is>
          <t>Quincaillerie</t>
        </is>
      </c>
      <c r="I402" t="n">
        <v>23</v>
      </c>
      <c r="J402" s="5" t="n">
        <v>10175</v>
      </c>
      <c r="K402" s="6" t="n">
        <v>0.04</v>
      </c>
      <c r="L402" s="5" t="n">
        <v>224664</v>
      </c>
      <c r="M402" s="5" t="n">
        <v>265104</v>
      </c>
      <c r="N402" s="5">
        <f>ROUND(I402*J402*(1-K402),0)</f>
        <v/>
      </c>
    </row>
    <row r="403">
      <c r="A403" t="inlineStr">
        <is>
          <t>T05-251101-109861</t>
        </is>
      </c>
      <c r="B403" s="4" t="n">
        <v>45962</v>
      </c>
      <c r="C403" t="inlineStr">
        <is>
          <t>17:15</t>
        </is>
      </c>
      <c r="D403" t="inlineStr">
        <is>
          <t>Magasin 5 — Kaya Marché</t>
        </is>
      </c>
      <c r="E403" t="inlineStr">
        <is>
          <t>Moussa Ilboudo</t>
        </is>
      </c>
      <c r="F403" t="n">
        <v>0</v>
      </c>
      <c r="G403" t="inlineStr">
        <is>
          <t>Peinture acrylique blanc 10 L — réf 1</t>
        </is>
      </c>
      <c r="H403" t="inlineStr">
        <is>
          <t>Peinture</t>
        </is>
      </c>
      <c r="I403" t="n">
        <v>7</v>
      </c>
      <c r="J403" s="5" t="n">
        <v>4325</v>
      </c>
      <c r="K403" s="6" t="n">
        <v>0</v>
      </c>
      <c r="L403" s="5" t="n">
        <v>30275</v>
      </c>
      <c r="M403" s="5" t="n">
        <v>35725</v>
      </c>
      <c r="N403" s="5">
        <f>ROUND(I403*J403*(1-K403),0)</f>
        <v/>
      </c>
    </row>
    <row r="404">
      <c r="A404" t="inlineStr">
        <is>
          <t>T05-251101-109861</t>
        </is>
      </c>
      <c r="B404" s="4" t="n">
        <v>45962</v>
      </c>
      <c r="C404" t="inlineStr">
        <is>
          <t>17:26</t>
        </is>
      </c>
      <c r="D404" t="inlineStr">
        <is>
          <t>Magasin 5 — Kaya Marché</t>
        </is>
      </c>
      <c r="E404" t="inlineStr">
        <is>
          <t>Salamatu Sankara</t>
        </is>
      </c>
      <c r="F404" t="n">
        <v>9495</v>
      </c>
      <c r="G404" t="inlineStr">
        <is>
          <t>Meuleuse 125 mm — réf 2</t>
        </is>
      </c>
      <c r="H404" t="inlineStr">
        <is>
          <t>Quincaillerie</t>
        </is>
      </c>
      <c r="I404" t="n">
        <v>1</v>
      </c>
      <c r="J404" s="5" t="n">
        <v>6000</v>
      </c>
      <c r="K404" s="6" t="n">
        <v>0</v>
      </c>
      <c r="L404" s="5" t="n">
        <v>6000</v>
      </c>
      <c r="M404" s="5" t="n">
        <v>7080</v>
      </c>
      <c r="N404" s="5">
        <f>ROUND(I404*J404*(1-K404),0)</f>
        <v/>
      </c>
    </row>
    <row r="405">
      <c r="A405" t="inlineStr">
        <is>
          <t>T05-251101-109862</t>
        </is>
      </c>
      <c r="B405" s="4" t="n">
        <v>45962</v>
      </c>
      <c r="C405" t="inlineStr">
        <is>
          <t>18:37</t>
        </is>
      </c>
      <c r="D405" t="inlineStr">
        <is>
          <t>Magasin 5 — Kaya Marché</t>
        </is>
      </c>
      <c r="E405" t="inlineStr">
        <is>
          <t>Adama Bationo</t>
        </is>
      </c>
      <c r="F405" t="n">
        <v>16057</v>
      </c>
      <c r="G405" t="inlineStr">
        <is>
          <t>Tableau 18 modules — réf 2</t>
        </is>
      </c>
      <c r="H405" t="inlineStr">
        <is>
          <t>Electricité</t>
        </is>
      </c>
      <c r="I405" t="n">
        <v>3</v>
      </c>
      <c r="J405" s="5" t="n">
        <v>9075</v>
      </c>
      <c r="K405" s="6" t="n">
        <v>0</v>
      </c>
      <c r="L405" s="5" t="n">
        <v>27225</v>
      </c>
      <c r="M405" s="5" t="n">
        <v>32125</v>
      </c>
      <c r="N405" s="5">
        <f>ROUND(I405*J405*(1-K405),0)</f>
        <v/>
      </c>
    </row>
    <row r="406">
      <c r="A406" t="inlineStr">
        <is>
          <t>T05-251101-109862</t>
        </is>
      </c>
      <c r="B406" s="4" t="n">
        <v>45962</v>
      </c>
      <c r="C406" t="inlineStr">
        <is>
          <t>12:19</t>
        </is>
      </c>
      <c r="D406" t="inlineStr">
        <is>
          <t>Magasin 5 — Kaya Marché</t>
        </is>
      </c>
      <c r="E406" t="inlineStr">
        <is>
          <t>Moussa Ilboudo</t>
        </is>
      </c>
      <c r="F406" t="n">
        <v>0</v>
      </c>
      <c r="G406" t="inlineStr">
        <is>
          <t>Échelle aluminium 4 marches — réf 2</t>
        </is>
      </c>
      <c r="H406" t="inlineStr">
        <is>
          <t>Consommables</t>
        </is>
      </c>
      <c r="I406" t="n">
        <v>8</v>
      </c>
      <c r="J406" s="5" t="n">
        <v>8600</v>
      </c>
      <c r="K406" s="6" t="n">
        <v>0</v>
      </c>
      <c r="L406" s="5" t="n">
        <v>68800</v>
      </c>
      <c r="M406" s="5" t="n">
        <v>81184</v>
      </c>
      <c r="N406" s="5">
        <f>ROUND(I406*J406*(1-K406),0)</f>
        <v/>
      </c>
    </row>
    <row r="407">
      <c r="A407" t="inlineStr">
        <is>
          <t>T05-251101-109862</t>
        </is>
      </c>
      <c r="B407" s="4" t="n">
        <v>45962</v>
      </c>
      <c r="C407" t="inlineStr">
        <is>
          <t>08:30</t>
        </is>
      </c>
      <c r="D407" t="inlineStr">
        <is>
          <t>Magasin 5 — Kaya Marché</t>
        </is>
      </c>
      <c r="E407" t="inlineStr">
        <is>
          <t>Salamatu Sankara</t>
        </is>
      </c>
      <c r="F407" t="n">
        <v>8620</v>
      </c>
      <c r="G407" t="inlineStr">
        <is>
          <t>Ciment CPJ45 50 kg — réf 2</t>
        </is>
      </c>
      <c r="H407" t="inlineStr">
        <is>
          <t>Matériaux</t>
        </is>
      </c>
      <c r="I407" t="n">
        <v>21</v>
      </c>
      <c r="J407" s="5" t="n">
        <v>6350</v>
      </c>
      <c r="K407" s="6" t="n">
        <v>0</v>
      </c>
      <c r="L407" s="5" t="n">
        <v>133350</v>
      </c>
      <c r="M407" s="5" t="n">
        <v>157353</v>
      </c>
      <c r="N407" s="5">
        <f>ROUND(I407*J407*(1-K407),0)</f>
        <v/>
      </c>
    </row>
    <row r="408">
      <c r="A408" t="inlineStr">
        <is>
          <t>T05-251101-109863</t>
        </is>
      </c>
      <c r="B408" s="4" t="n">
        <v>45962</v>
      </c>
      <c r="C408" t="inlineStr">
        <is>
          <t>13:59</t>
        </is>
      </c>
      <c r="D408" t="inlineStr">
        <is>
          <t>Magasin 5 — Kaya Marché</t>
        </is>
      </c>
      <c r="E408" t="inlineStr">
        <is>
          <t>Moussa Ilboudo</t>
        </is>
      </c>
      <c r="F408" t="n">
        <v>13950</v>
      </c>
      <c r="G408" t="inlineStr">
        <is>
          <t>Lampe torche rechargeable — réf 2</t>
        </is>
      </c>
      <c r="H408" t="inlineStr">
        <is>
          <t>Electricité</t>
        </is>
      </c>
      <c r="I408" t="n">
        <v>2</v>
      </c>
      <c r="J408" s="5" t="n">
        <v>20850</v>
      </c>
      <c r="K408" s="6" t="n">
        <v>0</v>
      </c>
      <c r="L408" s="5" t="n">
        <v>41700</v>
      </c>
      <c r="M408" s="5" t="n">
        <v>49206</v>
      </c>
      <c r="N408" s="5">
        <f>ROUND(I408*J408*(1-K408),0)</f>
        <v/>
      </c>
    </row>
    <row r="409">
      <c r="A409" t="inlineStr">
        <is>
          <t>T05-251101-109863</t>
        </is>
      </c>
      <c r="B409" s="4" t="n">
        <v>45962</v>
      </c>
      <c r="C409" t="inlineStr">
        <is>
          <t>11:20</t>
        </is>
      </c>
      <c r="D409" t="inlineStr">
        <is>
          <t>Magasin 5 — Kaya Marché</t>
        </is>
      </c>
      <c r="E409" t="inlineStr">
        <is>
          <t>Salamatu Sankara</t>
        </is>
      </c>
      <c r="F409" t="n">
        <v>15812</v>
      </c>
      <c r="G409" t="inlineStr">
        <is>
          <t>Baguette de finition 2,4 m — réf 1</t>
        </is>
      </c>
      <c r="H409" t="inlineStr">
        <is>
          <t>Bois &amp; panneaux</t>
        </is>
      </c>
      <c r="I409" t="n">
        <v>1</v>
      </c>
      <c r="J409" s="5" t="n">
        <v>11350</v>
      </c>
      <c r="K409" s="6" t="n">
        <v>0.04</v>
      </c>
      <c r="L409" s="5" t="n">
        <v>10896</v>
      </c>
      <c r="M409" s="5" t="n">
        <v>12857</v>
      </c>
      <c r="N409" s="5">
        <f>ROUND(I409*J409*(1-K409),0)</f>
        <v/>
      </c>
    </row>
    <row r="410">
      <c r="A410" t="inlineStr">
        <is>
          <t>T05-251101-109863</t>
        </is>
      </c>
      <c r="B410" s="4" t="n">
        <v>45962</v>
      </c>
      <c r="C410" t="inlineStr">
        <is>
          <t>12:26</t>
        </is>
      </c>
      <c r="D410" t="inlineStr">
        <is>
          <t>Magasin 5 — Kaya Marché</t>
        </is>
      </c>
      <c r="E410" t="inlineStr">
        <is>
          <t>Boureima Ouédraogo</t>
        </is>
      </c>
      <c r="F410" t="n">
        <v>12915</v>
      </c>
      <c r="G410" t="inlineStr">
        <is>
          <t>Raccord laiton 20/27 — réf 1</t>
        </is>
      </c>
      <c r="H410" t="inlineStr">
        <is>
          <t>Plomberie</t>
        </is>
      </c>
      <c r="I410" t="n">
        <v>6</v>
      </c>
      <c r="J410" s="5" t="n">
        <v>4575</v>
      </c>
      <c r="K410" s="6" t="n">
        <v>0</v>
      </c>
      <c r="L410" s="5" t="n">
        <v>27450</v>
      </c>
      <c r="M410" s="5" t="n">
        <v>32391</v>
      </c>
      <c r="N410" s="5">
        <f>ROUND(I410*J410*(1-K410),0)</f>
        <v/>
      </c>
    </row>
    <row r="411">
      <c r="A411" t="inlineStr">
        <is>
          <t>T05-251101-109864</t>
        </is>
      </c>
      <c r="B411" s="4" t="n">
        <v>45962</v>
      </c>
      <c r="C411" t="inlineStr">
        <is>
          <t>16:29</t>
        </is>
      </c>
      <c r="D411" t="inlineStr">
        <is>
          <t>Magasin 5 — Kaya Marché</t>
        </is>
      </c>
      <c r="E411" t="inlineStr">
        <is>
          <t>Adama Bationo</t>
        </is>
      </c>
      <c r="F411" t="n">
        <v>14299</v>
      </c>
      <c r="G411" t="inlineStr">
        <is>
          <t>Clé plate 13 — réf 2</t>
        </is>
      </c>
      <c r="H411" t="inlineStr">
        <is>
          <t>Quincaillerie</t>
        </is>
      </c>
      <c r="I411" t="n">
        <v>13</v>
      </c>
      <c r="J411" s="5" t="n">
        <v>10450</v>
      </c>
      <c r="K411" s="6" t="n">
        <v>0</v>
      </c>
      <c r="L411" s="5" t="n">
        <v>135850</v>
      </c>
      <c r="M411" s="5" t="n">
        <v>160303</v>
      </c>
      <c r="N411" s="5">
        <f>ROUND(I411*J411*(1-K411),0)</f>
        <v/>
      </c>
    </row>
    <row r="412">
      <c r="A412" t="inlineStr">
        <is>
          <t>T05-251101-109864</t>
        </is>
      </c>
      <c r="B412" s="4" t="n">
        <v>45962</v>
      </c>
      <c r="C412" t="inlineStr">
        <is>
          <t>14:04</t>
        </is>
      </c>
      <c r="D412" t="inlineStr">
        <is>
          <t>Magasin 5 — Kaya Marché</t>
        </is>
      </c>
      <c r="E412" t="inlineStr">
        <is>
          <t>Salamatu Sankara</t>
        </is>
      </c>
      <c r="F412" t="n">
        <v>0</v>
      </c>
      <c r="G412" t="inlineStr">
        <is>
          <t>Tournevis cruciforme PH2 — réf 2</t>
        </is>
      </c>
      <c r="H412" t="inlineStr">
        <is>
          <t>Quincaillerie</t>
        </is>
      </c>
      <c r="I412" t="n">
        <v>2</v>
      </c>
      <c r="J412" s="5" t="n">
        <v>6225</v>
      </c>
      <c r="K412" s="6" t="n">
        <v>0</v>
      </c>
      <c r="L412" s="5" t="n">
        <v>12450</v>
      </c>
      <c r="M412" s="5" t="n">
        <v>14691</v>
      </c>
      <c r="N412" s="5">
        <f>ROUND(I412*J412*(1-K412),0)</f>
        <v/>
      </c>
    </row>
    <row r="413">
      <c r="A413" t="inlineStr">
        <is>
          <t>T05-251101-109864</t>
        </is>
      </c>
      <c r="B413" s="4" t="n">
        <v>45962</v>
      </c>
      <c r="C413" t="inlineStr">
        <is>
          <t>18:51</t>
        </is>
      </c>
      <c r="D413" t="inlineStr">
        <is>
          <t>Magasin 5 — Kaya Marché</t>
        </is>
      </c>
      <c r="E413" t="inlineStr">
        <is>
          <t>Adama Bationo</t>
        </is>
      </c>
      <c r="F413" t="n">
        <v>13348</v>
      </c>
      <c r="G413" t="inlineStr">
        <is>
          <t>Antirouille rouge brique 1 L — réf 1</t>
        </is>
      </c>
      <c r="H413" t="inlineStr">
        <is>
          <t>Peinture</t>
        </is>
      </c>
      <c r="I413" t="n">
        <v>3</v>
      </c>
      <c r="J413" s="5" t="n">
        <v>5050</v>
      </c>
      <c r="K413" s="6" t="n">
        <v>0.04</v>
      </c>
      <c r="L413" s="5" t="n">
        <v>14544</v>
      </c>
      <c r="M413" s="5" t="n">
        <v>17162</v>
      </c>
      <c r="N413" s="5">
        <f>ROUND(I413*J413*(1-K413),0)</f>
        <v/>
      </c>
    </row>
    <row r="414">
      <c r="A414" t="inlineStr">
        <is>
          <t>T05-251101-109865</t>
        </is>
      </c>
      <c r="B414" s="4" t="n">
        <v>45962</v>
      </c>
      <c r="C414" t="inlineStr">
        <is>
          <t>16:26</t>
        </is>
      </c>
      <c r="D414" t="inlineStr">
        <is>
          <t>Magasin 5 — Kaya Marché</t>
        </is>
      </c>
      <c r="E414" t="inlineStr">
        <is>
          <t>Adama Bationo</t>
        </is>
      </c>
      <c r="F414" t="n">
        <v>14936</v>
      </c>
      <c r="G414" t="inlineStr">
        <is>
          <t>Pavé autobloquant — réf 1</t>
        </is>
      </c>
      <c r="H414" t="inlineStr">
        <is>
          <t>Matériaux</t>
        </is>
      </c>
      <c r="I414" t="n">
        <v>7</v>
      </c>
      <c r="J414" s="5" t="n">
        <v>1125</v>
      </c>
      <c r="K414" s="6" t="n">
        <v>0.04</v>
      </c>
      <c r="L414" s="5" t="n">
        <v>7560</v>
      </c>
      <c r="M414" s="5" t="n">
        <v>8921</v>
      </c>
      <c r="N414" s="5">
        <f>ROUND(I414*J414*(1-K414),0)</f>
        <v/>
      </c>
    </row>
    <row r="415">
      <c r="A415" t="inlineStr">
        <is>
          <t>T05-251101-109865</t>
        </is>
      </c>
      <c r="B415" s="4" t="n">
        <v>45962</v>
      </c>
      <c r="C415" t="inlineStr">
        <is>
          <t>10:51</t>
        </is>
      </c>
      <c r="D415" t="inlineStr">
        <is>
          <t>Magasin 5 — Kaya Marché</t>
        </is>
      </c>
      <c r="E415" t="inlineStr">
        <is>
          <t>Boureima Ouédraogo</t>
        </is>
      </c>
      <c r="F415" t="n">
        <v>18585</v>
      </c>
      <c r="G415" t="inlineStr">
        <is>
          <t>Tournevis cruciforme PH2 — réf 1</t>
        </is>
      </c>
      <c r="H415" t="inlineStr">
        <is>
          <t>Quincaillerie</t>
        </is>
      </c>
      <c r="I415" t="n">
        <v>4</v>
      </c>
      <c r="J415" s="5" t="n">
        <v>8050</v>
      </c>
      <c r="K415" s="6" t="n">
        <v>0</v>
      </c>
      <c r="L415" s="5" t="n">
        <v>32200</v>
      </c>
      <c r="M415" s="5" t="n">
        <v>37996</v>
      </c>
      <c r="N415" s="5">
        <f>ROUND(I415*J415*(1-K415),0)</f>
        <v/>
      </c>
    </row>
    <row r="416">
      <c r="A416" t="inlineStr">
        <is>
          <t>T05-251101-109865</t>
        </is>
      </c>
      <c r="B416" s="4" t="n">
        <v>45962</v>
      </c>
      <c r="C416" t="inlineStr">
        <is>
          <t>10:18</t>
        </is>
      </c>
      <c r="D416" t="inlineStr">
        <is>
          <t>Magasin 5 — Kaya Marché</t>
        </is>
      </c>
      <c r="E416" t="inlineStr">
        <is>
          <t>Boureima Ouédraogo</t>
        </is>
      </c>
      <c r="F416" t="n">
        <v>21884</v>
      </c>
      <c r="G416" t="inlineStr">
        <is>
          <t>Ciment CPJ45 50 kg — réf 1</t>
        </is>
      </c>
      <c r="H416" t="inlineStr">
        <is>
          <t>Matériaux</t>
        </is>
      </c>
      <c r="I416" t="n">
        <v>5</v>
      </c>
      <c r="J416" s="5" t="n">
        <v>6175</v>
      </c>
      <c r="K416" s="6" t="n">
        <v>0.04</v>
      </c>
      <c r="L416" s="5" t="n">
        <v>29640</v>
      </c>
      <c r="M416" s="5" t="n">
        <v>34975</v>
      </c>
      <c r="N416" s="5">
        <f>ROUND(I416*J416*(1-K416),0)</f>
        <v/>
      </c>
    </row>
    <row r="417">
      <c r="A417" t="inlineStr">
        <is>
          <t>T05-251101-109866</t>
        </is>
      </c>
      <c r="B417" s="4" t="n">
        <v>45962</v>
      </c>
      <c r="C417" t="inlineStr">
        <is>
          <t>09:13</t>
        </is>
      </c>
      <c r="D417" t="inlineStr">
        <is>
          <t>Magasin 5 — Kaya Marché</t>
        </is>
      </c>
      <c r="E417" t="inlineStr">
        <is>
          <t>Adama Bationo</t>
        </is>
      </c>
      <c r="F417" t="n">
        <v>0</v>
      </c>
      <c r="G417" t="inlineStr">
        <is>
          <t>Ciment CPJ45 50 kg — réf 1</t>
        </is>
      </c>
      <c r="H417" t="inlineStr">
        <is>
          <t>Matériaux</t>
        </is>
      </c>
      <c r="I417" t="n">
        <v>6</v>
      </c>
      <c r="J417" s="5" t="n">
        <v>5950</v>
      </c>
      <c r="K417" s="6" t="n">
        <v>0</v>
      </c>
      <c r="L417" s="5" t="n">
        <v>35700</v>
      </c>
      <c r="M417" s="5" t="n">
        <v>42126</v>
      </c>
      <c r="N417" s="5">
        <f>ROUND(I417*J417*(1-K417),0)</f>
        <v/>
      </c>
    </row>
    <row r="418">
      <c r="A418" t="inlineStr">
        <is>
          <t>T05-251101-109866</t>
        </is>
      </c>
      <c r="B418" s="4" t="n">
        <v>45962</v>
      </c>
      <c r="C418" t="inlineStr">
        <is>
          <t>13:57</t>
        </is>
      </c>
      <c r="D418" t="inlineStr">
        <is>
          <t>Magasin 5 — Kaya Marché</t>
        </is>
      </c>
      <c r="E418" t="inlineStr">
        <is>
          <t>Boureima Ouédraogo</t>
        </is>
      </c>
      <c r="F418" t="n">
        <v>5725</v>
      </c>
      <c r="G418" t="inlineStr">
        <is>
          <t>Scie égoïne 500 mm — réf 2</t>
        </is>
      </c>
      <c r="H418" t="inlineStr">
        <is>
          <t>Quincaillerie</t>
        </is>
      </c>
      <c r="I418" t="n">
        <v>8</v>
      </c>
      <c r="J418" s="5" t="n">
        <v>10125</v>
      </c>
      <c r="K418" s="6" t="n">
        <v>0</v>
      </c>
      <c r="L418" s="5" t="n">
        <v>81000</v>
      </c>
      <c r="M418" s="5" t="n">
        <v>95580</v>
      </c>
      <c r="N418" s="5">
        <f>ROUND(I418*J418*(1-K418),0)</f>
        <v/>
      </c>
    </row>
    <row r="419">
      <c r="A419" t="inlineStr">
        <is>
          <t>T05-251101-109866</t>
        </is>
      </c>
      <c r="B419" s="4" t="n">
        <v>45962</v>
      </c>
      <c r="C419" t="inlineStr">
        <is>
          <t>07:14</t>
        </is>
      </c>
      <c r="D419" t="inlineStr">
        <is>
          <t>Magasin 5 — Kaya Marché</t>
        </is>
      </c>
      <c r="E419" t="inlineStr">
        <is>
          <t>Adama Bationo</t>
        </is>
      </c>
      <c r="F419" t="n">
        <v>7120</v>
      </c>
      <c r="G419" t="inlineStr">
        <is>
          <t>Brouette en kit — réf 1</t>
        </is>
      </c>
      <c r="H419" t="inlineStr">
        <is>
          <t>Consommables</t>
        </is>
      </c>
      <c r="I419" t="n">
        <v>7</v>
      </c>
      <c r="J419" s="5" t="n">
        <v>9300</v>
      </c>
      <c r="K419" s="6" t="n">
        <v>0.08</v>
      </c>
      <c r="L419" s="5" t="n">
        <v>59892</v>
      </c>
      <c r="M419" s="5" t="n">
        <v>70673</v>
      </c>
      <c r="N419" s="5">
        <f>ROUND(I419*J419*(1-K419),0)</f>
        <v/>
      </c>
    </row>
    <row r="420">
      <c r="A420" t="inlineStr">
        <is>
          <t>T05-251101-109867</t>
        </is>
      </c>
      <c r="B420" s="4" t="n">
        <v>45962</v>
      </c>
      <c r="C420" t="inlineStr">
        <is>
          <t>18:24</t>
        </is>
      </c>
      <c r="D420" t="inlineStr">
        <is>
          <t>Magasin 5 — Kaya Marché</t>
        </is>
      </c>
      <c r="E420" t="inlineStr">
        <is>
          <t>Adama Bationo</t>
        </is>
      </c>
      <c r="F420" t="n">
        <v>1455</v>
      </c>
      <c r="G420" t="inlineStr">
        <is>
          <t>Mètre ruban 5 m — réf 2</t>
        </is>
      </c>
      <c r="H420" t="inlineStr">
        <is>
          <t>Quincaillerie</t>
        </is>
      </c>
      <c r="I420" t="n">
        <v>17</v>
      </c>
      <c r="J420" s="5" t="n">
        <v>6375</v>
      </c>
      <c r="K420" s="6" t="n">
        <v>0</v>
      </c>
      <c r="L420" s="5" t="n">
        <v>108375</v>
      </c>
      <c r="M420" s="5" t="n">
        <v>127883</v>
      </c>
      <c r="N420" s="5">
        <f>ROUND(I420*J420*(1-K420),0)</f>
        <v/>
      </c>
    </row>
    <row r="421">
      <c r="A421" t="inlineStr">
        <is>
          <t>T05-251101-109867</t>
        </is>
      </c>
      <c r="B421" s="4" t="n">
        <v>45962</v>
      </c>
      <c r="C421" t="inlineStr">
        <is>
          <t>15:31</t>
        </is>
      </c>
      <c r="D421" t="inlineStr">
        <is>
          <t>Magasin 5 — Kaya Marché</t>
        </is>
      </c>
      <c r="E421" t="inlineStr">
        <is>
          <t>Moussa Ilboudo</t>
        </is>
      </c>
      <c r="F421" t="n">
        <v>8677</v>
      </c>
      <c r="G421" t="inlineStr">
        <is>
          <t>Perforateur 800 W — réf 2</t>
        </is>
      </c>
      <c r="H421" t="inlineStr">
        <is>
          <t>Quincaillerie</t>
        </is>
      </c>
      <c r="I421" t="n">
        <v>1</v>
      </c>
      <c r="J421" s="5" t="n">
        <v>5750</v>
      </c>
      <c r="K421" s="6" t="n">
        <v>0</v>
      </c>
      <c r="L421" s="5" t="n">
        <v>5750</v>
      </c>
      <c r="M421" s="5" t="n">
        <v>6785</v>
      </c>
      <c r="N421" s="5">
        <f>ROUND(I421*J421*(1-K421),0)</f>
        <v/>
      </c>
    </row>
    <row r="422">
      <c r="A422" t="inlineStr">
        <is>
          <t>T05-251101-109867</t>
        </is>
      </c>
      <c r="B422" s="4" t="n">
        <v>45962</v>
      </c>
      <c r="C422" t="inlineStr">
        <is>
          <t>15:52</t>
        </is>
      </c>
      <c r="D422" t="inlineStr">
        <is>
          <t>Magasin 5 — Kaya Marché</t>
        </is>
      </c>
      <c r="E422" t="inlineStr">
        <is>
          <t>Moussa Ilboudo</t>
        </is>
      </c>
      <c r="F422" t="n">
        <v>22191</v>
      </c>
      <c r="G422" t="inlineStr">
        <is>
          <t>Boulon HM 10x40 (boîte) — réf 2</t>
        </is>
      </c>
      <c r="H422" t="inlineStr">
        <is>
          <t>Quincaillerie</t>
        </is>
      </c>
      <c r="I422" t="n">
        <v>3</v>
      </c>
      <c r="J422" s="5" t="n">
        <v>2550</v>
      </c>
      <c r="K422" s="6" t="n">
        <v>0.04</v>
      </c>
      <c r="L422" s="5" t="n">
        <v>7344</v>
      </c>
      <c r="M422" s="5" t="n">
        <v>8666</v>
      </c>
      <c r="N422" s="5">
        <f>ROUND(I422*J422*(1-K422),0)</f>
        <v/>
      </c>
    </row>
    <row r="423">
      <c r="A423" t="inlineStr">
        <is>
          <t>T05-251101-109868</t>
        </is>
      </c>
      <c r="B423" s="4" t="n">
        <v>45962</v>
      </c>
      <c r="C423" t="inlineStr">
        <is>
          <t>13:12</t>
        </is>
      </c>
      <c r="D423" t="inlineStr">
        <is>
          <t>Magasin 5 — Kaya Marché</t>
        </is>
      </c>
      <c r="E423" t="inlineStr">
        <is>
          <t>Moussa Ilboudo</t>
        </is>
      </c>
      <c r="F423" t="n">
        <v>10560</v>
      </c>
      <c r="G423" t="inlineStr">
        <is>
          <t>Brique de terre cuite — réf 2</t>
        </is>
      </c>
      <c r="H423" t="inlineStr">
        <is>
          <t>Matériaux</t>
        </is>
      </c>
      <c r="I423" t="n">
        <v>5</v>
      </c>
      <c r="J423" s="5" t="n">
        <v>700</v>
      </c>
      <c r="K423" s="6" t="n">
        <v>0.04</v>
      </c>
      <c r="L423" s="5" t="n">
        <v>3360</v>
      </c>
      <c r="M423" s="5" t="n">
        <v>3965</v>
      </c>
      <c r="N423" s="5">
        <f>ROUND(I423*J423*(1-K423),0)</f>
        <v/>
      </c>
    </row>
    <row r="424">
      <c r="A424" t="inlineStr">
        <is>
          <t>T05-251101-109868</t>
        </is>
      </c>
      <c r="B424" s="4" t="n">
        <v>45962</v>
      </c>
      <c r="C424" t="inlineStr">
        <is>
          <t>10:33</t>
        </is>
      </c>
      <c r="D424" t="inlineStr">
        <is>
          <t>Magasin 5 — Kaya Marché</t>
        </is>
      </c>
      <c r="E424" t="inlineStr">
        <is>
          <t>Boureima Ouédraogo</t>
        </is>
      </c>
      <c r="F424" t="n">
        <v>22055</v>
      </c>
      <c r="G424" t="inlineStr">
        <is>
          <t>Plaque de plâtre 13 mm — réf 2</t>
        </is>
      </c>
      <c r="H424" t="inlineStr">
        <is>
          <t>Bois &amp; panneaux</t>
        </is>
      </c>
      <c r="I424" t="n">
        <v>3</v>
      </c>
      <c r="J424" s="5" t="n">
        <v>13550</v>
      </c>
      <c r="K424" s="6" t="n">
        <v>0</v>
      </c>
      <c r="L424" s="5" t="n">
        <v>40650</v>
      </c>
      <c r="M424" s="5" t="n">
        <v>47967</v>
      </c>
      <c r="N424" s="5">
        <f>ROUND(I424*J424*(1-K424),0)</f>
        <v/>
      </c>
    </row>
    <row r="425">
      <c r="A425" t="inlineStr">
        <is>
          <t>T05-251101-109868</t>
        </is>
      </c>
      <c r="B425" s="4" t="n">
        <v>45962</v>
      </c>
      <c r="C425" t="inlineStr">
        <is>
          <t>08:38</t>
        </is>
      </c>
      <c r="D425" t="inlineStr">
        <is>
          <t>Magasin 5 — Kaya Marché</t>
        </is>
      </c>
      <c r="E425" t="inlineStr">
        <is>
          <t>Adama Bationo</t>
        </is>
      </c>
      <c r="F425" t="n">
        <v>6090</v>
      </c>
      <c r="G425" t="inlineStr">
        <is>
          <t>Meuleuse 125 mm — réf 2</t>
        </is>
      </c>
      <c r="H425" t="inlineStr">
        <is>
          <t>Quincaillerie</t>
        </is>
      </c>
      <c r="I425" t="n">
        <v>1</v>
      </c>
      <c r="J425" s="5" t="n">
        <v>6000</v>
      </c>
      <c r="K425" s="6" t="n">
        <v>0.04</v>
      </c>
      <c r="L425" s="5" t="n">
        <v>5760</v>
      </c>
      <c r="M425" s="5" t="n">
        <v>6797</v>
      </c>
      <c r="N425" s="5">
        <f>ROUND(I425*J425*(1-K425),0)</f>
        <v/>
      </c>
    </row>
    <row r="426">
      <c r="A426" t="inlineStr">
        <is>
          <t>T05-251101-109869</t>
        </is>
      </c>
      <c r="B426" s="4" t="n">
        <v>45962</v>
      </c>
      <c r="C426" t="inlineStr">
        <is>
          <t>11:37</t>
        </is>
      </c>
      <c r="D426" t="inlineStr">
        <is>
          <t>Magasin 5 — Kaya Marché</t>
        </is>
      </c>
      <c r="E426" t="inlineStr">
        <is>
          <t>Salamatu Sankara</t>
        </is>
      </c>
      <c r="F426" t="n">
        <v>8539</v>
      </c>
      <c r="G426" t="inlineStr">
        <is>
          <t>Antirouille rouge brique 1 L — réf 2</t>
        </is>
      </c>
      <c r="H426" t="inlineStr">
        <is>
          <t>Peinture</t>
        </is>
      </c>
      <c r="I426" t="n">
        <v>8</v>
      </c>
      <c r="J426" s="5" t="n">
        <v>7075</v>
      </c>
      <c r="K426" s="6" t="n">
        <v>0</v>
      </c>
      <c r="L426" s="5" t="n">
        <v>56600</v>
      </c>
      <c r="M426" s="5" t="n">
        <v>66788</v>
      </c>
      <c r="N426" s="5">
        <f>ROUND(I426*J426*(1-K426),0)</f>
        <v/>
      </c>
    </row>
    <row r="427">
      <c r="A427" t="inlineStr">
        <is>
          <t>T05-251101-109869</t>
        </is>
      </c>
      <c r="B427" s="4" t="n">
        <v>45962</v>
      </c>
      <c r="C427" t="inlineStr">
        <is>
          <t>17:41</t>
        </is>
      </c>
      <c r="D427" t="inlineStr">
        <is>
          <t>Magasin 5 — Kaya Marché</t>
        </is>
      </c>
      <c r="E427" t="inlineStr">
        <is>
          <t>Boureima Ouédraogo</t>
        </is>
      </c>
      <c r="F427" t="n">
        <v>0</v>
      </c>
      <c r="G427" t="inlineStr">
        <is>
          <t>Tout-venant (m3) — réf 1</t>
        </is>
      </c>
      <c r="H427" t="inlineStr">
        <is>
          <t>Matériaux</t>
        </is>
      </c>
      <c r="I427" t="n">
        <v>5</v>
      </c>
      <c r="J427" s="5" t="n">
        <v>15725</v>
      </c>
      <c r="K427" s="6" t="n">
        <v>0</v>
      </c>
      <c r="L427" s="5" t="n">
        <v>78625</v>
      </c>
      <c r="M427" s="5" t="n">
        <v>92777</v>
      </c>
      <c r="N427" s="5">
        <f>ROUND(I427*J427*(1-K427),0)</f>
        <v/>
      </c>
    </row>
    <row r="428">
      <c r="A428" t="inlineStr">
        <is>
          <t>T05-251101-109869</t>
        </is>
      </c>
      <c r="B428" s="4" t="n">
        <v>45962</v>
      </c>
      <c r="C428" t="inlineStr">
        <is>
          <t>14:22</t>
        </is>
      </c>
      <c r="D428" t="inlineStr">
        <is>
          <t>Magasin 5 — Kaya Marché</t>
        </is>
      </c>
      <c r="E428" t="inlineStr">
        <is>
          <t>Adama Bationo</t>
        </is>
      </c>
      <c r="F428" t="n">
        <v>12264</v>
      </c>
      <c r="G428" t="inlineStr">
        <is>
          <t>Douille E27 avec cordon — réf 1</t>
        </is>
      </c>
      <c r="H428" t="inlineStr">
        <is>
          <t>Electricité</t>
        </is>
      </c>
      <c r="I428" t="n">
        <v>3</v>
      </c>
      <c r="J428" s="5" t="n">
        <v>12625</v>
      </c>
      <c r="K428" s="6" t="n">
        <v>0</v>
      </c>
      <c r="L428" s="5" t="n">
        <v>37875</v>
      </c>
      <c r="M428" s="5" t="n">
        <v>44693</v>
      </c>
      <c r="N428" s="5">
        <f>ROUND(I428*J428*(1-K428),0)</f>
        <v/>
      </c>
    </row>
    <row r="429">
      <c r="A429" t="inlineStr">
        <is>
          <t>T05-251101-109870</t>
        </is>
      </c>
      <c r="B429" s="4" t="n">
        <v>45962</v>
      </c>
      <c r="C429" t="inlineStr">
        <is>
          <t>10:36</t>
        </is>
      </c>
      <c r="D429" t="inlineStr">
        <is>
          <t>Magasin 5 — Kaya Marché</t>
        </is>
      </c>
      <c r="E429" t="inlineStr">
        <is>
          <t>Adama Bationo</t>
        </is>
      </c>
      <c r="F429" t="n">
        <v>0</v>
      </c>
      <c r="G429" t="inlineStr">
        <is>
          <t>Tout-venant (m3) — réf 2</t>
        </is>
      </c>
      <c r="H429" t="inlineStr">
        <is>
          <t>Matériaux</t>
        </is>
      </c>
      <c r="I429" t="n">
        <v>7</v>
      </c>
      <c r="J429" s="5" t="n">
        <v>23425</v>
      </c>
      <c r="K429" s="6" t="n">
        <v>0</v>
      </c>
      <c r="L429" s="5" t="n">
        <v>163975</v>
      </c>
      <c r="M429" s="5" t="n">
        <v>193491</v>
      </c>
      <c r="N429" s="5">
        <f>ROUND(I429*J429*(1-K429),0)</f>
        <v/>
      </c>
    </row>
    <row r="430">
      <c r="A430" t="inlineStr">
        <is>
          <t>T05-251101-109870</t>
        </is>
      </c>
      <c r="B430" s="4" t="n">
        <v>45962</v>
      </c>
      <c r="C430" t="inlineStr">
        <is>
          <t>17:14</t>
        </is>
      </c>
      <c r="D430" t="inlineStr">
        <is>
          <t>Magasin 5 — Kaya Marché</t>
        </is>
      </c>
      <c r="E430" t="inlineStr">
        <is>
          <t>Adama Bationo</t>
        </is>
      </c>
      <c r="F430" t="n">
        <v>16001</v>
      </c>
      <c r="G430" t="inlineStr">
        <is>
          <t>Ciment CPJ35 50 kg — réf 1</t>
        </is>
      </c>
      <c r="H430" t="inlineStr">
        <is>
          <t>Matériaux</t>
        </is>
      </c>
      <c r="I430" t="n">
        <v>5</v>
      </c>
      <c r="J430" s="5" t="n">
        <v>6250</v>
      </c>
      <c r="K430" s="6" t="n">
        <v>0</v>
      </c>
      <c r="L430" s="5" t="n">
        <v>31250</v>
      </c>
      <c r="M430" s="5" t="n">
        <v>36875</v>
      </c>
      <c r="N430" s="5">
        <f>ROUND(I430*J430*(1-K430),0)</f>
        <v/>
      </c>
    </row>
    <row r="431">
      <c r="A431" t="inlineStr">
        <is>
          <t>T05-251102-109907</t>
        </is>
      </c>
      <c r="B431" s="4" t="n">
        <v>45963</v>
      </c>
      <c r="C431" t="inlineStr">
        <is>
          <t>11:14</t>
        </is>
      </c>
      <c r="D431" t="inlineStr">
        <is>
          <t>Magasin 5 — Kaya Marché</t>
        </is>
      </c>
      <c r="E431" t="inlineStr">
        <is>
          <t>Moussa Ilboudo</t>
        </is>
      </c>
      <c r="F431" t="n">
        <v>353</v>
      </c>
      <c r="G431" t="inlineStr">
        <is>
          <t>Marteau de menuisier — réf 2</t>
        </is>
      </c>
      <c r="H431" t="inlineStr">
        <is>
          <t>Quincaillerie</t>
        </is>
      </c>
      <c r="I431" t="n">
        <v>13</v>
      </c>
      <c r="J431" s="5" t="n">
        <v>8600</v>
      </c>
      <c r="K431" s="6" t="n">
        <v>0</v>
      </c>
      <c r="L431" s="5" t="n">
        <v>111800</v>
      </c>
      <c r="M431" s="5" t="n">
        <v>131924</v>
      </c>
      <c r="N431" s="5">
        <f>ROUND(I431*J431*(1-K431),0)</f>
        <v/>
      </c>
    </row>
    <row r="432">
      <c r="A432" t="inlineStr">
        <is>
          <t>T05-251102-109907</t>
        </is>
      </c>
      <c r="B432" s="4" t="n">
        <v>45963</v>
      </c>
      <c r="C432" t="inlineStr">
        <is>
          <t>11:59</t>
        </is>
      </c>
      <c r="D432" t="inlineStr">
        <is>
          <t>Magasin 5 — Kaya Marché</t>
        </is>
      </c>
      <c r="E432" t="inlineStr">
        <is>
          <t>Salamatu Sankara</t>
        </is>
      </c>
      <c r="F432" t="n">
        <v>18568</v>
      </c>
      <c r="G432" t="inlineStr">
        <is>
          <t>Gravier 15/25 (m3) — réf 2</t>
        </is>
      </c>
      <c r="H432" t="inlineStr">
        <is>
          <t>Matériaux</t>
        </is>
      </c>
      <c r="I432" t="n">
        <v>10</v>
      </c>
      <c r="J432" s="5" t="n">
        <v>21025</v>
      </c>
      <c r="K432" s="6" t="n">
        <v>0</v>
      </c>
      <c r="L432" s="5" t="n">
        <v>210250</v>
      </c>
      <c r="M432" s="5" t="n">
        <v>248095</v>
      </c>
      <c r="N432" s="5">
        <f>ROUND(I432*J432*(1-K432),0)</f>
        <v/>
      </c>
    </row>
    <row r="433">
      <c r="A433" t="inlineStr">
        <is>
          <t>T05-251102-109907</t>
        </is>
      </c>
      <c r="B433" s="4" t="n">
        <v>45963</v>
      </c>
      <c r="C433" t="inlineStr">
        <is>
          <t>10:51</t>
        </is>
      </c>
      <c r="D433" t="inlineStr">
        <is>
          <t>Magasin 5 — Kaya Marché</t>
        </is>
      </c>
      <c r="E433" t="inlineStr">
        <is>
          <t>Moussa Ilboudo</t>
        </is>
      </c>
      <c r="F433" t="n">
        <v>3481</v>
      </c>
      <c r="G433" t="inlineStr">
        <is>
          <t>Sable de rivière (m3) — réf 2</t>
        </is>
      </c>
      <c r="H433" t="inlineStr">
        <is>
          <t>Matériaux</t>
        </is>
      </c>
      <c r="I433" t="n">
        <v>2</v>
      </c>
      <c r="J433" s="5" t="n">
        <v>25500</v>
      </c>
      <c r="K433" s="6" t="n">
        <v>0.08</v>
      </c>
      <c r="L433" s="5" t="n">
        <v>46920</v>
      </c>
      <c r="M433" s="5" t="n">
        <v>55366</v>
      </c>
      <c r="N433" s="5">
        <f>ROUND(I433*J433*(1-K433),0)</f>
        <v/>
      </c>
    </row>
    <row r="434">
      <c r="A434" t="inlineStr">
        <is>
          <t>T05-251102-109908</t>
        </is>
      </c>
      <c r="B434" s="4" t="n">
        <v>45963</v>
      </c>
      <c r="C434" t="inlineStr">
        <is>
          <t>08:54</t>
        </is>
      </c>
      <c r="D434" t="inlineStr">
        <is>
          <t>Magasin 5 — Kaya Marché</t>
        </is>
      </c>
      <c r="E434" t="inlineStr">
        <is>
          <t>Moussa Ilboudo</t>
        </is>
      </c>
      <c r="F434" t="n">
        <v>9329</v>
      </c>
      <c r="G434" t="inlineStr">
        <is>
          <t>Ciment CPJ45 50 kg — réf 1</t>
        </is>
      </c>
      <c r="H434" t="inlineStr">
        <is>
          <t>Matériaux</t>
        </is>
      </c>
      <c r="I434" t="n">
        <v>7</v>
      </c>
      <c r="J434" s="5" t="n">
        <v>5925</v>
      </c>
      <c r="K434" s="6" t="n">
        <v>0</v>
      </c>
      <c r="L434" s="5" t="n">
        <v>41475</v>
      </c>
      <c r="M434" s="5" t="n">
        <v>48941</v>
      </c>
      <c r="N434" s="5">
        <f>ROUND(I434*J434*(1-K434),0)</f>
        <v/>
      </c>
    </row>
    <row r="435">
      <c r="A435" t="inlineStr">
        <is>
          <t>T05-251102-109908</t>
        </is>
      </c>
      <c r="B435" s="4" t="n">
        <v>45963</v>
      </c>
      <c r="C435" t="inlineStr">
        <is>
          <t>18:13</t>
        </is>
      </c>
      <c r="D435" t="inlineStr">
        <is>
          <t>Magasin 5 — Kaya Marché</t>
        </is>
      </c>
      <c r="E435" t="inlineStr">
        <is>
          <t>Adama Bationo</t>
        </is>
      </c>
      <c r="F435" t="n">
        <v>246</v>
      </c>
      <c r="G435" t="inlineStr">
        <is>
          <t>Douille E27 avec cordon — réf 2</t>
        </is>
      </c>
      <c r="H435" t="inlineStr">
        <is>
          <t>Electricité</t>
        </is>
      </c>
      <c r="I435" t="n">
        <v>9</v>
      </c>
      <c r="J435" s="5" t="n">
        <v>18700</v>
      </c>
      <c r="K435" s="6" t="n">
        <v>0</v>
      </c>
      <c r="L435" s="5" t="n">
        <v>168300</v>
      </c>
      <c r="M435" s="5" t="n">
        <v>198594</v>
      </c>
      <c r="N435" s="5">
        <f>ROUND(I435*J435*(1-K435),0)</f>
        <v/>
      </c>
    </row>
    <row r="436">
      <c r="A436" t="inlineStr">
        <is>
          <t>T05-251102-109908</t>
        </is>
      </c>
      <c r="B436" s="4" t="n">
        <v>45963</v>
      </c>
      <c r="C436" t="inlineStr">
        <is>
          <t>18:41</t>
        </is>
      </c>
      <c r="D436" t="inlineStr">
        <is>
          <t>Magasin 5 — Kaya Marché</t>
        </is>
      </c>
      <c r="E436" t="inlineStr">
        <is>
          <t>Salamatu Sankara</t>
        </is>
      </c>
      <c r="F436" t="n">
        <v>12990</v>
      </c>
      <c r="G436" t="inlineStr">
        <is>
          <t>Bêche à manche bois — réf 2</t>
        </is>
      </c>
      <c r="H436" t="inlineStr">
        <is>
          <t>Consommables</t>
        </is>
      </c>
      <c r="I436" t="n">
        <v>10</v>
      </c>
      <c r="J436" s="5" t="n">
        <v>5825</v>
      </c>
      <c r="K436" s="6" t="n">
        <v>0</v>
      </c>
      <c r="L436" s="5" t="n">
        <v>58250</v>
      </c>
      <c r="M436" s="5" t="n">
        <v>68735</v>
      </c>
      <c r="N436" s="5">
        <f>ROUND(I436*J436*(1-K436),0)</f>
        <v/>
      </c>
    </row>
    <row r="437">
      <c r="A437" t="inlineStr">
        <is>
          <t>T05-251102-109909</t>
        </is>
      </c>
      <c r="B437" s="4" t="n">
        <v>45963</v>
      </c>
      <c r="C437" t="inlineStr">
        <is>
          <t>18:56</t>
        </is>
      </c>
      <c r="D437" t="inlineStr">
        <is>
          <t>Magasin 5 — Kaya Marché</t>
        </is>
      </c>
      <c r="E437" t="inlineStr">
        <is>
          <t>Salamatu Sankara</t>
        </is>
      </c>
      <c r="F437" t="n">
        <v>0</v>
      </c>
      <c r="G437" t="inlineStr">
        <is>
          <t>Panneau contreplaqué 15 mm — réf 1</t>
        </is>
      </c>
      <c r="H437" t="inlineStr">
        <is>
          <t>Bois &amp; panneaux</t>
        </is>
      </c>
      <c r="I437" t="n">
        <v>3</v>
      </c>
      <c r="J437" s="5" t="n">
        <v>18925</v>
      </c>
      <c r="K437" s="6" t="n">
        <v>0</v>
      </c>
      <c r="L437" s="5" t="n">
        <v>56775</v>
      </c>
      <c r="M437" s="5" t="n">
        <v>66995</v>
      </c>
      <c r="N437" s="5">
        <f>ROUND(I437*J437*(1-K437),0)</f>
        <v/>
      </c>
    </row>
    <row r="438">
      <c r="A438" t="inlineStr">
        <is>
          <t>T05-251102-109909</t>
        </is>
      </c>
      <c r="B438" s="4" t="n">
        <v>45963</v>
      </c>
      <c r="C438" t="inlineStr">
        <is>
          <t>14:56</t>
        </is>
      </c>
      <c r="D438" t="inlineStr">
        <is>
          <t>Magasin 5 — Kaya Marché</t>
        </is>
      </c>
      <c r="E438" t="inlineStr">
        <is>
          <t>Moussa Ilboudo</t>
        </is>
      </c>
      <c r="F438" t="n">
        <v>18869</v>
      </c>
      <c r="G438" t="inlineStr">
        <is>
          <t>Ciment CPJ35 50 kg — réf 2</t>
        </is>
      </c>
      <c r="H438" t="inlineStr">
        <is>
          <t>Matériaux</t>
        </is>
      </c>
      <c r="I438" t="n">
        <v>10</v>
      </c>
      <c r="J438" s="5" t="n">
        <v>4175</v>
      </c>
      <c r="K438" s="6" t="n">
        <v>0</v>
      </c>
      <c r="L438" s="5" t="n">
        <v>41750</v>
      </c>
      <c r="M438" s="5" t="n">
        <v>49265</v>
      </c>
      <c r="N438" s="5">
        <f>ROUND(I438*J438*(1-K438),0)</f>
        <v/>
      </c>
    </row>
    <row r="439">
      <c r="A439" t="inlineStr">
        <is>
          <t>T05-251102-109909</t>
        </is>
      </c>
      <c r="B439" s="4" t="n">
        <v>45963</v>
      </c>
      <c r="C439" t="inlineStr">
        <is>
          <t>18:02</t>
        </is>
      </c>
      <c r="D439" t="inlineStr">
        <is>
          <t>Magasin 5 — Kaya Marché</t>
        </is>
      </c>
      <c r="E439" t="inlineStr">
        <is>
          <t>Adama Bationo</t>
        </is>
      </c>
      <c r="F439" t="n">
        <v>13826</v>
      </c>
      <c r="G439" t="inlineStr">
        <is>
          <t>Tout-venant (m3) — réf 2</t>
        </is>
      </c>
      <c r="H439" t="inlineStr">
        <is>
          <t>Matériaux</t>
        </is>
      </c>
      <c r="I439" t="n">
        <v>2</v>
      </c>
      <c r="J439" s="5" t="n">
        <v>24425</v>
      </c>
      <c r="K439" s="6" t="n">
        <v>0</v>
      </c>
      <c r="L439" s="5" t="n">
        <v>48850</v>
      </c>
      <c r="M439" s="5" t="n">
        <v>57643</v>
      </c>
      <c r="N439" s="5">
        <f>ROUND(I439*J439*(1-K439),0)</f>
        <v/>
      </c>
    </row>
    <row r="440">
      <c r="A440" t="inlineStr">
        <is>
          <t>T05-251103-110015</t>
        </is>
      </c>
      <c r="B440" s="4" t="n">
        <v>45964</v>
      </c>
      <c r="C440" t="inlineStr">
        <is>
          <t>12:13</t>
        </is>
      </c>
      <c r="D440" t="inlineStr">
        <is>
          <t>Magasin 5 — Kaya Marché</t>
        </is>
      </c>
      <c r="E440" t="inlineStr">
        <is>
          <t>Salamatu Sankara</t>
        </is>
      </c>
      <c r="F440" t="n">
        <v>0</v>
      </c>
      <c r="G440" t="inlineStr">
        <is>
          <t>Sable de rivière (m3) — réf 1</t>
        </is>
      </c>
      <c r="H440" t="inlineStr">
        <is>
          <t>Matériaux</t>
        </is>
      </c>
      <c r="I440" t="n">
        <v>1</v>
      </c>
      <c r="J440" s="5" t="n">
        <v>25775</v>
      </c>
      <c r="K440" s="6" t="n">
        <v>0</v>
      </c>
      <c r="L440" s="5" t="n">
        <v>25775</v>
      </c>
      <c r="M440" s="5" t="n">
        <v>30415</v>
      </c>
      <c r="N440" s="5">
        <f>ROUND(I440*J440*(1-K440),0)</f>
        <v/>
      </c>
    </row>
    <row r="441">
      <c r="A441" t="inlineStr">
        <is>
          <t>T05-251103-110015</t>
        </is>
      </c>
      <c r="B441" s="4" t="n">
        <v>45964</v>
      </c>
      <c r="C441" t="inlineStr">
        <is>
          <t>12:28</t>
        </is>
      </c>
      <c r="D441" t="inlineStr">
        <is>
          <t>Magasin 5 — Kaya Marché</t>
        </is>
      </c>
      <c r="E441" t="inlineStr">
        <is>
          <t>Moussa Ilboudo</t>
        </is>
      </c>
      <c r="F441" t="n">
        <v>20631</v>
      </c>
      <c r="G441" t="inlineStr">
        <is>
          <t>Fil de fer recuit (kg) — réf 1</t>
        </is>
      </c>
      <c r="H441" t="inlineStr">
        <is>
          <t>Quincaillerie</t>
        </is>
      </c>
      <c r="I441" t="n">
        <v>18</v>
      </c>
      <c r="J441" s="5" t="n">
        <v>1550</v>
      </c>
      <c r="K441" s="6" t="n">
        <v>0</v>
      </c>
      <c r="L441" s="5" t="n">
        <v>27900</v>
      </c>
      <c r="M441" s="5" t="n">
        <v>32922</v>
      </c>
      <c r="N441" s="5">
        <f>ROUND(I441*J441*(1-K441),0)</f>
        <v/>
      </c>
    </row>
    <row r="442">
      <c r="A442" t="inlineStr">
        <is>
          <t>T05-251201-113517</t>
        </is>
      </c>
      <c r="B442" s="4" t="n">
        <v>45992</v>
      </c>
      <c r="C442" t="inlineStr">
        <is>
          <t>08:55</t>
        </is>
      </c>
      <c r="D442" t="inlineStr">
        <is>
          <t>Magasin 5 — Kaya Marché</t>
        </is>
      </c>
      <c r="E442" t="inlineStr">
        <is>
          <t>Salamatu Sankara</t>
        </is>
      </c>
      <c r="F442" t="inlineStr"/>
      <c r="G442" t="inlineStr">
        <is>
          <t>Ballon d'eau chaude 50 L — réf 2</t>
        </is>
      </c>
      <c r="H442" t="inlineStr">
        <is>
          <t>Plomberie</t>
        </is>
      </c>
      <c r="I442" t="n">
        <v>3</v>
      </c>
      <c r="J442" s="5" t="n">
        <v>36900</v>
      </c>
      <c r="K442" s="6" t="n">
        <v>0</v>
      </c>
      <c r="L442" s="5" t="n">
        <v>110700</v>
      </c>
      <c r="M442" s="5" t="n">
        <v>130626</v>
      </c>
      <c r="N442" s="5">
        <f>ROUND(I442*J442*(1-K442),0)</f>
        <v/>
      </c>
    </row>
    <row r="443">
      <c r="A443" t="inlineStr">
        <is>
          <t>T05-251201-113518</t>
        </is>
      </c>
      <c r="B443" s="4" t="n">
        <v>45992</v>
      </c>
      <c r="C443" t="inlineStr">
        <is>
          <t>12:57</t>
        </is>
      </c>
      <c r="D443" t="inlineStr">
        <is>
          <t>Magasin 5 — Kaya Marché</t>
        </is>
      </c>
      <c r="E443" t="inlineStr">
        <is>
          <t>Salamatu Sankara</t>
        </is>
      </c>
      <c r="F443" t="n">
        <v>15643</v>
      </c>
      <c r="G443" t="inlineStr">
        <is>
          <t>Cheville nylon 8 mm (sachet) — réf 1</t>
        </is>
      </c>
      <c r="H443" t="inlineStr">
        <is>
          <t>Quincaillerie</t>
        </is>
      </c>
      <c r="I443" t="n">
        <v>4</v>
      </c>
      <c r="J443" s="5" t="n">
        <v>2425</v>
      </c>
      <c r="K443" s="6" t="n">
        <v>0</v>
      </c>
      <c r="L443" s="5" t="n">
        <v>9700</v>
      </c>
      <c r="M443" s="5" t="n">
        <v>11446</v>
      </c>
      <c r="N443" s="5">
        <f>ROUND(I443*J443*(1-K443),0)</f>
        <v/>
      </c>
    </row>
    <row r="444">
      <c r="A444" t="inlineStr">
        <is>
          <t>T05-251201-113519</t>
        </is>
      </c>
      <c r="B444" s="4" t="n">
        <v>45992</v>
      </c>
      <c r="C444" t="inlineStr">
        <is>
          <t>11:34</t>
        </is>
      </c>
      <c r="D444" t="inlineStr">
        <is>
          <t>Magasin 5 — Kaya Marché</t>
        </is>
      </c>
      <c r="E444" t="inlineStr">
        <is>
          <t>Moussa Ilboudo</t>
        </is>
      </c>
      <c r="F444" t="n">
        <v>13087</v>
      </c>
      <c r="G444" t="inlineStr">
        <is>
          <t>Plaque de plâtre 13 mm — réf 2</t>
        </is>
      </c>
      <c r="H444" t="inlineStr">
        <is>
          <t>Bois &amp; panneaux</t>
        </is>
      </c>
      <c r="I444" t="n">
        <v>59</v>
      </c>
      <c r="J444" s="5" t="n">
        <v>13550</v>
      </c>
      <c r="K444" s="6" t="n">
        <v>0</v>
      </c>
      <c r="L444" s="5" t="n">
        <v>799450</v>
      </c>
      <c r="M444" s="5" t="n">
        <v>943351</v>
      </c>
      <c r="N444" s="5">
        <f>ROUND(I444*J444*(1-K444),0)</f>
        <v/>
      </c>
    </row>
    <row r="445">
      <c r="A445" t="inlineStr">
        <is>
          <t>T05-251201-113520</t>
        </is>
      </c>
      <c r="B445" s="4" t="n">
        <v>45992</v>
      </c>
      <c r="C445" t="inlineStr">
        <is>
          <t>10:51</t>
        </is>
      </c>
      <c r="D445" t="inlineStr">
        <is>
          <t>Magasin 5 — Kaya Marché</t>
        </is>
      </c>
      <c r="E445" t="inlineStr">
        <is>
          <t>Moussa Ilboudo</t>
        </is>
      </c>
      <c r="F445" t="n">
        <v>18687</v>
      </c>
      <c r="G445" t="inlineStr">
        <is>
          <t>Gravier 15/25 (m3) — réf 2</t>
        </is>
      </c>
      <c r="H445" t="inlineStr">
        <is>
          <t>Matériaux</t>
        </is>
      </c>
      <c r="I445" t="n">
        <v>1</v>
      </c>
      <c r="J445" s="5" t="n">
        <v>20975</v>
      </c>
      <c r="K445" s="6" t="n">
        <v>0</v>
      </c>
      <c r="L445" s="5" t="n">
        <v>20975</v>
      </c>
      <c r="M445" s="5" t="n">
        <v>24751</v>
      </c>
      <c r="N445" s="5">
        <f>ROUND(I445*J445*(1-K445),0)</f>
        <v/>
      </c>
    </row>
    <row r="446">
      <c r="A446" t="inlineStr">
        <is>
          <t>T05-251201-113521</t>
        </is>
      </c>
      <c r="B446" s="4" t="n">
        <v>45992</v>
      </c>
      <c r="C446" t="inlineStr">
        <is>
          <t>09:35</t>
        </is>
      </c>
      <c r="D446" t="inlineStr">
        <is>
          <t>Magasin 5 — Kaya Marché</t>
        </is>
      </c>
      <c r="E446" t="inlineStr">
        <is>
          <t>Salamatu Sankara</t>
        </is>
      </c>
      <c r="F446" t="n">
        <v>182</v>
      </c>
      <c r="G446" t="inlineStr">
        <is>
          <t>Lavabo céramique — réf 1</t>
        </is>
      </c>
      <c r="H446" t="inlineStr">
        <is>
          <t>Plomberie</t>
        </is>
      </c>
      <c r="I446" t="n">
        <v>24</v>
      </c>
      <c r="J446" s="5" t="n">
        <v>35450</v>
      </c>
      <c r="K446" s="6" t="n">
        <v>0</v>
      </c>
      <c r="L446" s="5" t="n">
        <v>850800</v>
      </c>
      <c r="M446" s="5" t="n">
        <v>1003944</v>
      </c>
      <c r="N446" s="5">
        <f>ROUND(I446*J446*(1-K446),0)</f>
        <v/>
      </c>
    </row>
    <row r="447">
      <c r="A447" t="inlineStr">
        <is>
          <t>T05-251201-113522</t>
        </is>
      </c>
      <c r="B447" s="4" t="n">
        <v>45992</v>
      </c>
      <c r="C447" t="inlineStr">
        <is>
          <t>11:42</t>
        </is>
      </c>
      <c r="D447" t="inlineStr">
        <is>
          <t>Magasin 5 — Kaya Marché</t>
        </is>
      </c>
      <c r="E447" t="inlineStr">
        <is>
          <t>Adama Bationo</t>
        </is>
      </c>
      <c r="F447" t="n">
        <v>0</v>
      </c>
      <c r="G447" t="inlineStr">
        <is>
          <t>Passe-câble étanche — réf 2</t>
        </is>
      </c>
      <c r="H447" t="inlineStr">
        <is>
          <t>Electricité</t>
        </is>
      </c>
      <c r="I447" t="n">
        <v>1</v>
      </c>
      <c r="J447" s="5" t="n">
        <v>16150</v>
      </c>
      <c r="K447" s="6" t="n">
        <v>0</v>
      </c>
      <c r="L447" s="5" t="n">
        <v>16150</v>
      </c>
      <c r="M447" s="5" t="n">
        <v>19057</v>
      </c>
      <c r="N447" s="5">
        <f>ROUND(I447*J447*(1-K447),0)</f>
        <v/>
      </c>
    </row>
    <row r="448">
      <c r="A448" t="inlineStr">
        <is>
          <t>T05-251201-113523</t>
        </is>
      </c>
      <c r="B448" s="4" t="n">
        <v>45992</v>
      </c>
      <c r="C448" t="inlineStr">
        <is>
          <t>08:13</t>
        </is>
      </c>
      <c r="D448" t="inlineStr">
        <is>
          <t>Magasin 5 — Kaya Marché</t>
        </is>
      </c>
      <c r="E448" t="inlineStr">
        <is>
          <t>Boureima Ouédraogo</t>
        </is>
      </c>
      <c r="F448" t="n">
        <v>18174</v>
      </c>
      <c r="G448" t="inlineStr">
        <is>
          <t>Niveau à bulle 600 mm — réf 1</t>
        </is>
      </c>
      <c r="H448" t="inlineStr">
        <is>
          <t>Quincaillerie</t>
        </is>
      </c>
      <c r="I448" t="n">
        <v>11</v>
      </c>
      <c r="J448" s="5" t="n">
        <v>9275</v>
      </c>
      <c r="K448" s="6" t="n">
        <v>0.04</v>
      </c>
      <c r="L448" s="5" t="n">
        <v>97944</v>
      </c>
      <c r="M448" s="5" t="n">
        <v>115574</v>
      </c>
      <c r="N448" s="5">
        <f>ROUND(I448*J448*(1-K448),0)</f>
        <v/>
      </c>
    </row>
    <row r="449">
      <c r="A449" t="inlineStr">
        <is>
          <t>T05-251201-113524</t>
        </is>
      </c>
      <c r="B449" s="4" t="n">
        <v>45992</v>
      </c>
      <c r="C449" t="inlineStr">
        <is>
          <t>17:56</t>
        </is>
      </c>
      <c r="D449" t="inlineStr">
        <is>
          <t>Magasin 5 — Kaya Marché</t>
        </is>
      </c>
      <c r="E449" t="inlineStr">
        <is>
          <t>Adama Bationo</t>
        </is>
      </c>
      <c r="F449" t="n">
        <v>21539</v>
      </c>
      <c r="G449" t="inlineStr">
        <is>
          <t>Antirouille rouge brique 1 L — réf 1</t>
        </is>
      </c>
      <c r="H449" t="inlineStr">
        <is>
          <t>Peinture</t>
        </is>
      </c>
      <c r="I449" t="n">
        <v>37</v>
      </c>
      <c r="J449" s="5" t="n">
        <v>5175</v>
      </c>
      <c r="K449" s="6" t="n">
        <v>0.04</v>
      </c>
      <c r="L449" s="5" t="n">
        <v>183816</v>
      </c>
      <c r="M449" s="5" t="n">
        <v>216903</v>
      </c>
      <c r="N449" s="5">
        <f>ROUND(I449*J449*(1-K449),0)</f>
        <v/>
      </c>
    </row>
    <row r="450">
      <c r="A450" t="inlineStr">
        <is>
          <t>T05-251201-113525</t>
        </is>
      </c>
      <c r="B450" s="4" t="n">
        <v>45992</v>
      </c>
      <c r="C450" t="inlineStr">
        <is>
          <t>10:15</t>
        </is>
      </c>
      <c r="D450" t="inlineStr">
        <is>
          <t>Magasin 5 — Kaya Marché</t>
        </is>
      </c>
      <c r="E450" t="inlineStr">
        <is>
          <t>Boureima Ouédraogo</t>
        </is>
      </c>
      <c r="F450" t="n">
        <v>16109</v>
      </c>
      <c r="G450" t="inlineStr">
        <is>
          <t>Meuleuse 125 mm — réf 2</t>
        </is>
      </c>
      <c r="H450" t="inlineStr">
        <is>
          <t>Quincaillerie</t>
        </is>
      </c>
      <c r="I450" t="n">
        <v>3</v>
      </c>
      <c r="J450" s="5" t="n">
        <v>6100</v>
      </c>
      <c r="K450" s="6" t="n">
        <v>0</v>
      </c>
      <c r="L450" s="5" t="n">
        <v>18300</v>
      </c>
      <c r="M450" s="5" t="n">
        <v>21594</v>
      </c>
      <c r="N450" s="5">
        <f>ROUND(I450*J450*(1-K450),0)</f>
        <v/>
      </c>
    </row>
    <row r="451">
      <c r="A451" t="inlineStr">
        <is>
          <t>T05-251201-113526</t>
        </is>
      </c>
      <c r="B451" s="4" t="n">
        <v>45992</v>
      </c>
      <c r="C451" t="inlineStr">
        <is>
          <t>15:09</t>
        </is>
      </c>
      <c r="D451" t="inlineStr">
        <is>
          <t>Magasin 5 — Kaya Marché</t>
        </is>
      </c>
      <c r="E451" t="inlineStr">
        <is>
          <t>Boureima Ouédraogo</t>
        </is>
      </c>
      <c r="F451" t="n">
        <v>19011</v>
      </c>
      <c r="G451" t="inlineStr">
        <is>
          <t>Fil de fer recuit (kg) — réf 2</t>
        </is>
      </c>
      <c r="H451" t="inlineStr">
        <is>
          <t>Quincaillerie</t>
        </is>
      </c>
      <c r="I451" t="n">
        <v>3</v>
      </c>
      <c r="J451" s="5" t="n">
        <v>2000</v>
      </c>
      <c r="K451" s="6" t="n">
        <v>0.04</v>
      </c>
      <c r="L451" s="5" t="n">
        <v>5760</v>
      </c>
      <c r="M451" s="5" t="n">
        <v>6797</v>
      </c>
      <c r="N451" s="5">
        <f>ROUND(I451*J451*(1-K451),0)</f>
        <v/>
      </c>
    </row>
    <row r="452">
      <c r="A452" t="inlineStr">
        <is>
          <t>T05-251201-113527</t>
        </is>
      </c>
      <c r="B452" s="4" t="n">
        <v>45992</v>
      </c>
      <c r="C452" t="inlineStr">
        <is>
          <t>13:42</t>
        </is>
      </c>
      <c r="D452" t="inlineStr">
        <is>
          <t>Magasin 5 — Kaya Marché</t>
        </is>
      </c>
      <c r="E452" t="inlineStr">
        <is>
          <t>Moussa Ilboudo</t>
        </is>
      </c>
      <c r="F452" t="n">
        <v>16921</v>
      </c>
      <c r="G452" t="inlineStr">
        <is>
          <t>Panneau solaire 100 W — réf 1</t>
        </is>
      </c>
      <c r="H452" t="inlineStr">
        <is>
          <t>Electricité</t>
        </is>
      </c>
      <c r="I452" t="n">
        <v>2</v>
      </c>
      <c r="J452" s="5" t="n">
        <v>9425</v>
      </c>
      <c r="K452" s="6" t="n">
        <v>0.08</v>
      </c>
      <c r="L452" s="5" t="n">
        <v>17342</v>
      </c>
      <c r="M452" s="5" t="n">
        <v>20464</v>
      </c>
      <c r="N452" s="5">
        <f>ROUND(I452*J452*(1-K452),0)</f>
        <v/>
      </c>
    </row>
    <row r="453">
      <c r="A453" t="inlineStr">
        <is>
          <t>T05-251201-113528</t>
        </is>
      </c>
      <c r="B453" s="4" t="n">
        <v>45992</v>
      </c>
      <c r="C453" t="inlineStr">
        <is>
          <t>11:46</t>
        </is>
      </c>
      <c r="D453" t="inlineStr">
        <is>
          <t>Magasin 5 — Kaya Marché</t>
        </is>
      </c>
      <c r="E453" t="inlineStr">
        <is>
          <t>Adama Bationo</t>
        </is>
      </c>
      <c r="F453" t="n">
        <v>4067</v>
      </c>
      <c r="G453" t="inlineStr">
        <is>
          <t>Brouette 90 L — réf 2</t>
        </is>
      </c>
      <c r="H453" t="inlineStr">
        <is>
          <t>Consommables</t>
        </is>
      </c>
      <c r="I453" t="n">
        <v>23</v>
      </c>
      <c r="J453" s="5" t="n">
        <v>9600</v>
      </c>
      <c r="K453" s="6" t="n">
        <v>0</v>
      </c>
      <c r="L453" s="5" t="n">
        <v>220800</v>
      </c>
      <c r="M453" s="5" t="n">
        <v>260544</v>
      </c>
      <c r="N453" s="5">
        <f>ROUND(I453*J453*(1-K453),0)</f>
        <v/>
      </c>
    </row>
    <row r="454">
      <c r="A454" t="inlineStr">
        <is>
          <t>T05-251201-113529</t>
        </is>
      </c>
      <c r="B454" s="4" t="n">
        <v>45992</v>
      </c>
      <c r="C454" t="inlineStr">
        <is>
          <t>08:14</t>
        </is>
      </c>
      <c r="D454" t="inlineStr">
        <is>
          <t>Magasin 5 — Kaya Marché</t>
        </is>
      </c>
      <c r="E454" t="inlineStr">
        <is>
          <t>Boureima Ouédraogo</t>
        </is>
      </c>
      <c r="F454" t="n">
        <v>17916</v>
      </c>
      <c r="G454" t="inlineStr">
        <is>
          <t>Panneau contreplaqué 15 mm — réf 2</t>
        </is>
      </c>
      <c r="H454" t="inlineStr">
        <is>
          <t>Bois &amp; panneaux</t>
        </is>
      </c>
      <c r="I454" t="n">
        <v>2</v>
      </c>
      <c r="J454" s="5" t="n">
        <v>18100</v>
      </c>
      <c r="K454" s="6" t="n">
        <v>0</v>
      </c>
      <c r="L454" s="5" t="n">
        <v>36200</v>
      </c>
      <c r="M454" s="5" t="n">
        <v>42716</v>
      </c>
      <c r="N454" s="5">
        <f>ROUND(I454*J454*(1-K454),0)</f>
        <v/>
      </c>
    </row>
    <row r="455">
      <c r="A455" t="inlineStr">
        <is>
          <t>T05-251201-113530</t>
        </is>
      </c>
      <c r="B455" s="4" t="n">
        <v>45992</v>
      </c>
      <c r="C455" t="inlineStr">
        <is>
          <t>18:02</t>
        </is>
      </c>
      <c r="D455" t="inlineStr">
        <is>
          <t>Magasin 5 — Kaya Marché</t>
        </is>
      </c>
      <c r="E455" t="inlineStr">
        <is>
          <t>Boureima Ouédraogo</t>
        </is>
      </c>
      <c r="F455" t="n">
        <v>22381</v>
      </c>
      <c r="G455" t="inlineStr">
        <is>
          <t>Pavé autobloquant — réf 1</t>
        </is>
      </c>
      <c r="H455" t="inlineStr">
        <is>
          <t>Matériaux</t>
        </is>
      </c>
      <c r="I455" t="n">
        <v>1</v>
      </c>
      <c r="J455" s="5" t="n">
        <v>1125</v>
      </c>
      <c r="K455" s="6" t="n">
        <v>0.08</v>
      </c>
      <c r="L455" s="5" t="n">
        <v>1035</v>
      </c>
      <c r="M455" s="5" t="n">
        <v>1221</v>
      </c>
      <c r="N455" s="5">
        <f>ROUND(I455*J455*(1-K455),0)</f>
        <v/>
      </c>
    </row>
    <row r="456">
      <c r="A456" t="inlineStr">
        <is>
          <t>T05-251201-113531</t>
        </is>
      </c>
      <c r="B456" s="4" t="n">
        <v>45992</v>
      </c>
      <c r="C456" t="inlineStr">
        <is>
          <t>16:16</t>
        </is>
      </c>
      <c r="D456" t="inlineStr">
        <is>
          <t>Magasin 5 — Kaya Marché</t>
        </is>
      </c>
      <c r="E456" t="inlineStr">
        <is>
          <t>Moussa Ilboudo</t>
        </is>
      </c>
      <c r="F456" t="n">
        <v>0</v>
      </c>
      <c r="G456" t="inlineStr">
        <is>
          <t>Chaux aérienne 25 kg — réf 2</t>
        </is>
      </c>
      <c r="H456" t="inlineStr">
        <is>
          <t>Matériaux</t>
        </is>
      </c>
      <c r="I456" t="n">
        <v>6</v>
      </c>
      <c r="J456" s="5" t="n">
        <v>8025</v>
      </c>
      <c r="K456" s="6" t="n">
        <v>0</v>
      </c>
      <c r="L456" s="5" t="n">
        <v>48150</v>
      </c>
      <c r="M456" s="5" t="n">
        <v>56817</v>
      </c>
      <c r="N456" s="5">
        <f>ROUND(I456*J456*(1-K456),0)</f>
        <v/>
      </c>
    </row>
    <row r="457">
      <c r="A457" t="inlineStr">
        <is>
          <t>T05-251201-113532</t>
        </is>
      </c>
      <c r="B457" s="4" t="n">
        <v>45992</v>
      </c>
      <c r="C457" t="inlineStr">
        <is>
          <t>08:07</t>
        </is>
      </c>
      <c r="D457" t="inlineStr">
        <is>
          <t>Magasin 5 — Kaya Marché</t>
        </is>
      </c>
      <c r="E457" t="inlineStr">
        <is>
          <t>Adama Bationo</t>
        </is>
      </c>
      <c r="F457" t="n">
        <v>1716</v>
      </c>
      <c r="G457" t="inlineStr">
        <is>
          <t>Vernis marin 1 L — réf 2</t>
        </is>
      </c>
      <c r="H457" t="inlineStr">
        <is>
          <t>Peinture</t>
        </is>
      </c>
      <c r="I457" t="n">
        <v>22</v>
      </c>
      <c r="J457" s="5" t="n">
        <v>3800</v>
      </c>
      <c r="K457" s="6" t="n">
        <v>0</v>
      </c>
      <c r="L457" s="5" t="n">
        <v>83600</v>
      </c>
      <c r="M457" s="5" t="n">
        <v>98648</v>
      </c>
      <c r="N457" s="5">
        <f>ROUND(I457*J457*(1-K457),0)</f>
        <v/>
      </c>
    </row>
    <row r="458">
      <c r="A458" t="inlineStr">
        <is>
          <t>T05-251201-113533</t>
        </is>
      </c>
      <c r="B458" s="4" t="n">
        <v>45992</v>
      </c>
      <c r="C458" t="inlineStr">
        <is>
          <t>11:43</t>
        </is>
      </c>
      <c r="D458" t="inlineStr">
        <is>
          <t>Magasin 5 — Kaya Marché</t>
        </is>
      </c>
      <c r="E458" t="inlineStr">
        <is>
          <t>Salamatu Sankara</t>
        </is>
      </c>
      <c r="F458" t="n">
        <v>22495</v>
      </c>
      <c r="G458" t="inlineStr">
        <is>
          <t>Brique de terre cuite — réf 2</t>
        </is>
      </c>
      <c r="H458" t="inlineStr">
        <is>
          <t>Matériaux</t>
        </is>
      </c>
      <c r="I458" t="n">
        <v>10</v>
      </c>
      <c r="J458" s="5" t="n">
        <v>700</v>
      </c>
      <c r="K458" s="6" t="n">
        <v>0</v>
      </c>
      <c r="L458" s="5" t="n">
        <v>7000</v>
      </c>
      <c r="M458" s="5" t="n">
        <v>8260</v>
      </c>
      <c r="N458" s="5">
        <f>ROUND(I458*J458*(1-K458),0)</f>
        <v/>
      </c>
    </row>
    <row r="459">
      <c r="A459" t="inlineStr">
        <is>
          <t>T05-251201-113534</t>
        </is>
      </c>
      <c r="B459" s="4" t="n">
        <v>45992</v>
      </c>
      <c r="C459" t="inlineStr">
        <is>
          <t>11:31</t>
        </is>
      </c>
      <c r="D459" t="inlineStr">
        <is>
          <t>Magasin 5 — Kaya Marché</t>
        </is>
      </c>
      <c r="E459" t="inlineStr">
        <is>
          <t>Adama Bationo</t>
        </is>
      </c>
      <c r="F459" t="n">
        <v>21022</v>
      </c>
      <c r="G459" t="inlineStr">
        <is>
          <t>Douche de toilettes — réf 2</t>
        </is>
      </c>
      <c r="H459" t="inlineStr">
        <is>
          <t>Plomberie</t>
        </is>
      </c>
      <c r="I459" t="n">
        <v>2</v>
      </c>
      <c r="J459" s="5" t="n">
        <v>31500</v>
      </c>
      <c r="K459" s="6" t="n">
        <v>0.04</v>
      </c>
      <c r="L459" s="5" t="n">
        <v>60480</v>
      </c>
      <c r="M459" s="5" t="n">
        <v>71366</v>
      </c>
      <c r="N459" s="5">
        <f>ROUND(I459*J459*(1-K459),0)</f>
        <v/>
      </c>
    </row>
    <row r="460">
      <c r="A460" t="inlineStr">
        <is>
          <t>T05-251201-113535</t>
        </is>
      </c>
      <c r="B460" s="4" t="n">
        <v>45992</v>
      </c>
      <c r="C460" t="inlineStr">
        <is>
          <t>18:41</t>
        </is>
      </c>
      <c r="D460" t="inlineStr">
        <is>
          <t>Magasin 5 — Kaya Marché</t>
        </is>
      </c>
      <c r="E460" t="inlineStr">
        <is>
          <t>Salamatu Sankara</t>
        </is>
      </c>
      <c r="F460" t="n">
        <v>7357</v>
      </c>
      <c r="G460" t="inlineStr">
        <is>
          <t>Clé plate 13 — réf 1</t>
        </is>
      </c>
      <c r="H460" t="inlineStr">
        <is>
          <t>Quincaillerie</t>
        </is>
      </c>
      <c r="I460" t="n">
        <v>1</v>
      </c>
      <c r="J460" s="5" t="n">
        <v>9775</v>
      </c>
      <c r="K460" s="6" t="n">
        <v>0.04</v>
      </c>
      <c r="L460" s="5" t="n">
        <v>9384</v>
      </c>
      <c r="M460" s="5" t="n">
        <v>11073</v>
      </c>
      <c r="N460" s="5">
        <f>ROUND(I460*J460*(1-K460),0)</f>
        <v/>
      </c>
    </row>
    <row r="461">
      <c r="A461" t="inlineStr">
        <is>
          <t>T05-251201-113536</t>
        </is>
      </c>
      <c r="B461" s="4" t="n">
        <v>45992</v>
      </c>
      <c r="C461" t="inlineStr">
        <is>
          <t>09:02</t>
        </is>
      </c>
      <c r="D461" t="inlineStr">
        <is>
          <t>Magasin 5 — Kaya Marché</t>
        </is>
      </c>
      <c r="E461" t="inlineStr">
        <is>
          <t>Moussa Ilboudo</t>
        </is>
      </c>
      <c r="F461" t="n">
        <v>9327</v>
      </c>
      <c r="G461" t="inlineStr">
        <is>
          <t>Sable de rivière (m3) — réf 1</t>
        </is>
      </c>
      <c r="H461" t="inlineStr">
        <is>
          <t>Matériaux</t>
        </is>
      </c>
      <c r="I461" t="n">
        <v>7</v>
      </c>
      <c r="J461" s="5" t="n">
        <v>26325</v>
      </c>
      <c r="K461" s="6" t="n">
        <v>0</v>
      </c>
      <c r="L461" s="5" t="n">
        <v>184275</v>
      </c>
      <c r="M461" s="5" t="n">
        <v>217445</v>
      </c>
      <c r="N461" s="5">
        <f>ROUND(I461*J461*(1-K461),0)</f>
        <v/>
      </c>
    </row>
    <row r="462">
      <c r="A462" t="inlineStr">
        <is>
          <t>T05-251201-113537</t>
        </is>
      </c>
      <c r="B462" s="4" t="n">
        <v>45992</v>
      </c>
      <c r="C462" t="inlineStr">
        <is>
          <t>18:39</t>
        </is>
      </c>
      <c r="D462" t="inlineStr">
        <is>
          <t>Magasin 5 — Kaya Marché</t>
        </is>
      </c>
      <c r="E462" t="inlineStr">
        <is>
          <t>Salamatu Sankara</t>
        </is>
      </c>
      <c r="F462" t="n">
        <v>0</v>
      </c>
      <c r="G462" t="inlineStr">
        <is>
          <t>Brouette 90 L — réf 1</t>
        </is>
      </c>
      <c r="H462" t="inlineStr">
        <is>
          <t>Consommables</t>
        </is>
      </c>
      <c r="I462" t="n">
        <v>9</v>
      </c>
      <c r="J462" s="5" t="n">
        <v>4975</v>
      </c>
      <c r="K462" s="6" t="n">
        <v>0</v>
      </c>
      <c r="L462" s="5" t="n">
        <v>44775</v>
      </c>
      <c r="M462" s="5" t="n">
        <v>52835</v>
      </c>
      <c r="N462" s="5">
        <f>ROUND(I462*J462*(1-K462),0)</f>
        <v/>
      </c>
    </row>
    <row r="463">
      <c r="A463" t="inlineStr">
        <is>
          <t>T05-251201-113538</t>
        </is>
      </c>
      <c r="B463" s="4" t="n">
        <v>45992</v>
      </c>
      <c r="C463" t="inlineStr">
        <is>
          <t>12:47</t>
        </is>
      </c>
      <c r="D463" t="inlineStr">
        <is>
          <t>Magasin 5 — Kaya Marché</t>
        </is>
      </c>
      <c r="E463" t="inlineStr">
        <is>
          <t>Boureima Ouédraogo</t>
        </is>
      </c>
      <c r="F463" t="n">
        <v>2275</v>
      </c>
      <c r="G463" t="inlineStr">
        <is>
          <t>Gants anti-coupure (paire) — réf 2</t>
        </is>
      </c>
      <c r="H463" t="inlineStr">
        <is>
          <t>Consommables</t>
        </is>
      </c>
      <c r="I463" t="n">
        <v>7</v>
      </c>
      <c r="J463" s="5" t="n">
        <v>5250</v>
      </c>
      <c r="K463" s="6" t="n">
        <v>0</v>
      </c>
      <c r="L463" s="5" t="n">
        <v>36750</v>
      </c>
      <c r="M463" s="5" t="n">
        <v>43365</v>
      </c>
      <c r="N463" s="5">
        <f>ROUND(I463*J463*(1-K463),0)</f>
        <v/>
      </c>
    </row>
    <row r="464">
      <c r="A464" t="inlineStr">
        <is>
          <t>T05-251201-113539</t>
        </is>
      </c>
      <c r="B464" s="4" t="n">
        <v>45992</v>
      </c>
      <c r="C464" t="inlineStr">
        <is>
          <t>07:08</t>
        </is>
      </c>
      <c r="D464" t="inlineStr">
        <is>
          <t>Magasin 5 — Kaya Marché</t>
        </is>
      </c>
      <c r="E464" t="inlineStr">
        <is>
          <t>Moussa Ilboudo</t>
        </is>
      </c>
      <c r="F464" t="n">
        <v>0</v>
      </c>
      <c r="G464" t="inlineStr">
        <is>
          <t>Peinture toiture 25 kg — réf 2</t>
        </is>
      </c>
      <c r="H464" t="inlineStr">
        <is>
          <t>Peinture</t>
        </is>
      </c>
      <c r="I464" t="n">
        <v>49</v>
      </c>
      <c r="J464" s="5" t="n">
        <v>6025</v>
      </c>
      <c r="K464" s="6" t="n">
        <v>0</v>
      </c>
      <c r="L464" s="5" t="n">
        <v>295225</v>
      </c>
      <c r="M464" s="5" t="n">
        <v>348365</v>
      </c>
      <c r="N464" s="5">
        <f>ROUND(I464*J464*(1-K464),0)</f>
        <v/>
      </c>
    </row>
    <row r="465">
      <c r="A465" t="inlineStr">
        <is>
          <t>T05-251201-113540</t>
        </is>
      </c>
      <c r="B465" s="4" t="n">
        <v>45992</v>
      </c>
      <c r="C465" t="inlineStr">
        <is>
          <t>12:20</t>
        </is>
      </c>
      <c r="D465" t="inlineStr">
        <is>
          <t>Magasin 5 — Kaya Marché</t>
        </is>
      </c>
      <c r="E465" t="inlineStr">
        <is>
          <t>Boureima Ouédraogo</t>
        </is>
      </c>
      <c r="F465" t="n">
        <v>16625</v>
      </c>
      <c r="G465" t="inlineStr">
        <is>
          <t>Lampe torche rechargeable — réf 2</t>
        </is>
      </c>
      <c r="H465" t="inlineStr">
        <is>
          <t>Electricité</t>
        </is>
      </c>
      <c r="I465" t="n">
        <v>1</v>
      </c>
      <c r="J465" s="5" t="n">
        <v>20875</v>
      </c>
      <c r="K465" s="6" t="n">
        <v>0</v>
      </c>
      <c r="L465" s="5" t="n">
        <v>20875</v>
      </c>
      <c r="M465" s="5" t="n">
        <v>24633</v>
      </c>
      <c r="N465" s="5">
        <f>ROUND(I465*J465*(1-K465),0)</f>
        <v/>
      </c>
    </row>
    <row r="466">
      <c r="A466" t="inlineStr">
        <is>
          <t>T05-251201-113541</t>
        </is>
      </c>
      <c r="B466" s="4" t="n">
        <v>45992</v>
      </c>
      <c r="C466" t="inlineStr">
        <is>
          <t>14:28</t>
        </is>
      </c>
      <c r="D466" t="inlineStr">
        <is>
          <t>Magasin 5 — Kaya Marché</t>
        </is>
      </c>
      <c r="E466" t="inlineStr">
        <is>
          <t>Moussa Ilboudo</t>
        </is>
      </c>
      <c r="F466" t="n">
        <v>0</v>
      </c>
      <c r="G466" t="inlineStr">
        <is>
          <t>Câble 2x1,5 (rouleau 100 m) — réf 1</t>
        </is>
      </c>
      <c r="H466" t="inlineStr">
        <is>
          <t>Electricité</t>
        </is>
      </c>
      <c r="I466" t="n">
        <v>7</v>
      </c>
      <c r="J466" s="5" t="n">
        <v>12425</v>
      </c>
      <c r="K466" s="6" t="n">
        <v>0</v>
      </c>
      <c r="L466" s="5" t="n">
        <v>86975</v>
      </c>
      <c r="M466" s="5" t="n">
        <v>102631</v>
      </c>
      <c r="N466" s="5">
        <f>ROUND(I466*J466*(1-K466),0)</f>
        <v/>
      </c>
    </row>
    <row r="467">
      <c r="A467" t="inlineStr">
        <is>
          <t>T05-251201-113542</t>
        </is>
      </c>
      <c r="B467" s="4" t="n">
        <v>45992</v>
      </c>
      <c r="C467" t="inlineStr">
        <is>
          <t>16:08</t>
        </is>
      </c>
      <c r="D467" t="inlineStr">
        <is>
          <t>Magasin 5 — Kaya Marché</t>
        </is>
      </c>
      <c r="E467" t="inlineStr">
        <is>
          <t>Adama Bationo</t>
        </is>
      </c>
      <c r="F467" t="n">
        <v>2656</v>
      </c>
      <c r="G467" t="inlineStr">
        <is>
          <t>Passe-câble étanche — réf 2</t>
        </is>
      </c>
      <c r="H467" t="inlineStr">
        <is>
          <t>Electricité</t>
        </is>
      </c>
      <c r="I467" t="n">
        <v>3</v>
      </c>
      <c r="J467" s="5" t="n">
        <v>15975</v>
      </c>
      <c r="K467" s="6" t="n">
        <v>0.04</v>
      </c>
      <c r="L467" s="5" t="n">
        <v>46008</v>
      </c>
      <c r="M467" s="5" t="n">
        <v>54289</v>
      </c>
      <c r="N467" s="5">
        <f>ROUND(I467*J467*(1-K467),0)</f>
        <v/>
      </c>
    </row>
    <row r="468">
      <c r="A468" t="inlineStr">
        <is>
          <t>T05-251201-113543</t>
        </is>
      </c>
      <c r="B468" s="4" t="n">
        <v>45992</v>
      </c>
      <c r="C468" t="inlineStr">
        <is>
          <t>18:35</t>
        </is>
      </c>
      <c r="D468" t="inlineStr">
        <is>
          <t>Magasin 5 — Kaya Marché</t>
        </is>
      </c>
      <c r="E468" t="inlineStr">
        <is>
          <t>Adama Bationo</t>
        </is>
      </c>
      <c r="F468" t="n">
        <v>0</v>
      </c>
      <c r="G468" t="inlineStr">
        <is>
          <t>Chaux aérienne 25 kg — réf 2</t>
        </is>
      </c>
      <c r="H468" t="inlineStr">
        <is>
          <t>Matériaux</t>
        </is>
      </c>
      <c r="I468" t="n">
        <v>6</v>
      </c>
      <c r="J468" s="5" t="n">
        <v>8250</v>
      </c>
      <c r="K468" s="6" t="n">
        <v>0</v>
      </c>
      <c r="L468" s="5" t="n">
        <v>49500</v>
      </c>
      <c r="M468" s="5" t="n">
        <v>58410</v>
      </c>
      <c r="N468" s="5">
        <f>ROUND(I468*J468*(1-K468),0)</f>
        <v/>
      </c>
    </row>
    <row r="469">
      <c r="A469" t="inlineStr">
        <is>
          <t>T05-251201-113544</t>
        </is>
      </c>
      <c r="B469" s="4" t="n">
        <v>45992</v>
      </c>
      <c r="C469" t="inlineStr">
        <is>
          <t>12:53</t>
        </is>
      </c>
      <c r="D469" t="inlineStr">
        <is>
          <t>Magasin 5 — Kaya Marché</t>
        </is>
      </c>
      <c r="E469" t="inlineStr">
        <is>
          <t>Salamatu Sankara</t>
        </is>
      </c>
      <c r="F469" t="n">
        <v>7683</v>
      </c>
      <c r="G469" t="inlineStr">
        <is>
          <t>Brouette en kit — réf 1</t>
        </is>
      </c>
      <c r="H469" t="inlineStr">
        <is>
          <t>Consommables</t>
        </is>
      </c>
      <c r="I469" t="n">
        <v>8</v>
      </c>
      <c r="J469" s="5" t="n">
        <v>9225</v>
      </c>
      <c r="K469" s="6" t="n">
        <v>0</v>
      </c>
      <c r="L469" s="5" t="n">
        <v>73800</v>
      </c>
      <c r="M469" s="5" t="n">
        <v>87084</v>
      </c>
      <c r="N469" s="5">
        <f>ROUND(I469*J469*(1-K469),0)</f>
        <v/>
      </c>
    </row>
    <row r="470">
      <c r="A470" t="inlineStr">
        <is>
          <t>T05-251201-113545</t>
        </is>
      </c>
      <c r="B470" s="4" t="n">
        <v>45992</v>
      </c>
      <c r="C470" t="inlineStr">
        <is>
          <t>12:30</t>
        </is>
      </c>
      <c r="D470" t="inlineStr">
        <is>
          <t>Magasin 5 — Kaya Marché</t>
        </is>
      </c>
      <c r="E470" t="inlineStr">
        <is>
          <t>Adama Bationo</t>
        </is>
      </c>
      <c r="F470" t="n">
        <v>4660</v>
      </c>
      <c r="G470" t="inlineStr">
        <is>
          <t>Robinet mitigeur évier — réf 1</t>
        </is>
      </c>
      <c r="H470" t="inlineStr">
        <is>
          <t>Plomberie</t>
        </is>
      </c>
      <c r="I470" t="n">
        <v>18</v>
      </c>
      <c r="J470" s="5" t="n">
        <v>32400</v>
      </c>
      <c r="K470" s="6" t="n">
        <v>0.04</v>
      </c>
      <c r="L470" s="5" t="n">
        <v>559872</v>
      </c>
      <c r="M470" s="5" t="n">
        <v>660649</v>
      </c>
      <c r="N470" s="5">
        <f>ROUND(I470*J470*(1-K470),0)</f>
        <v/>
      </c>
    </row>
    <row r="471">
      <c r="A471" t="inlineStr">
        <is>
          <t>T05-251202-113653</t>
        </is>
      </c>
      <c r="B471" s="4" t="n">
        <v>45993</v>
      </c>
      <c r="C471" t="inlineStr">
        <is>
          <t>14:21</t>
        </is>
      </c>
      <c r="D471" t="inlineStr">
        <is>
          <t>Magasin 5 — Kaya Marché</t>
        </is>
      </c>
      <c r="E471" t="inlineStr">
        <is>
          <t>Adama Bationo</t>
        </is>
      </c>
      <c r="F471" t="n">
        <v>0</v>
      </c>
      <c r="G471" t="inlineStr">
        <is>
          <t>Mastic d'étanchéité — réf 2</t>
        </is>
      </c>
      <c r="H471" t="inlineStr">
        <is>
          <t>Plomberie</t>
        </is>
      </c>
      <c r="I471" t="n">
        <v>10</v>
      </c>
      <c r="J471" s="5" t="n">
        <v>4550</v>
      </c>
      <c r="K471" s="6" t="n">
        <v>0</v>
      </c>
      <c r="L471" s="5" t="n">
        <v>45500</v>
      </c>
      <c r="M471" s="5" t="n">
        <v>53690</v>
      </c>
      <c r="N471" s="5">
        <f>ROUND(I471*J471*(1-K471),0)</f>
        <v/>
      </c>
    </row>
    <row r="472">
      <c r="A472" t="inlineStr">
        <is>
          <t>T05-251202-113653</t>
        </is>
      </c>
      <c r="B472" s="4" t="n">
        <v>45993</v>
      </c>
      <c r="C472" t="inlineStr">
        <is>
          <t>17:36</t>
        </is>
      </c>
      <c r="D472" t="inlineStr">
        <is>
          <t>Magasin 5 — Kaya Marché</t>
        </is>
      </c>
      <c r="E472" t="inlineStr">
        <is>
          <t>Adama Bationo</t>
        </is>
      </c>
      <c r="F472" t="n">
        <v>15965</v>
      </c>
      <c r="G472" t="inlineStr">
        <is>
          <t>Enduit de lissage 20 kg — réf 2</t>
        </is>
      </c>
      <c r="H472" t="inlineStr">
        <is>
          <t>Matériaux</t>
        </is>
      </c>
      <c r="I472" t="n">
        <v>5</v>
      </c>
      <c r="J472" s="5" t="n">
        <v>6575</v>
      </c>
      <c r="K472" s="6" t="n">
        <v>0.08</v>
      </c>
      <c r="L472" s="5" t="n">
        <v>30245</v>
      </c>
      <c r="M472" s="5" t="n">
        <v>35689</v>
      </c>
      <c r="N472" s="5">
        <f>ROUND(I472*J472*(1-K472),0)</f>
        <v/>
      </c>
    </row>
    <row r="473">
      <c r="A473" t="inlineStr">
        <is>
          <t>T05-251202-113653</t>
        </is>
      </c>
      <c r="B473" s="4" t="n">
        <v>45993</v>
      </c>
      <c r="C473" t="inlineStr">
        <is>
          <t>08:17</t>
        </is>
      </c>
      <c r="D473" t="inlineStr">
        <is>
          <t>Magasin 5 — Kaya Marché</t>
        </is>
      </c>
      <c r="E473" t="inlineStr">
        <is>
          <t>Boureima Ouédraogo</t>
        </is>
      </c>
      <c r="F473" t="n">
        <v>20401</v>
      </c>
      <c r="G473" t="inlineStr">
        <is>
          <t>Cheville nylon 8 mm (sachet) — réf 1</t>
        </is>
      </c>
      <c r="H473" t="inlineStr">
        <is>
          <t>Quincaillerie</t>
        </is>
      </c>
      <c r="I473" t="n">
        <v>5</v>
      </c>
      <c r="J473" s="5" t="n">
        <v>2500</v>
      </c>
      <c r="K473" s="6" t="n">
        <v>0</v>
      </c>
      <c r="L473" s="5" t="n">
        <v>12500</v>
      </c>
      <c r="M473" s="5" t="n">
        <v>14750</v>
      </c>
      <c r="N473" s="5">
        <f>ROUND(I473*J473*(1-K473),0)</f>
        <v/>
      </c>
    </row>
    <row r="474">
      <c r="A474" t="inlineStr">
        <is>
          <t>T05-251202-113654</t>
        </is>
      </c>
      <c r="B474" s="4" t="n">
        <v>45993</v>
      </c>
      <c r="C474" t="inlineStr">
        <is>
          <t>18:53</t>
        </is>
      </c>
      <c r="D474" t="inlineStr">
        <is>
          <t>Magasin 5 — Kaya Marché</t>
        </is>
      </c>
      <c r="E474" t="inlineStr">
        <is>
          <t>Moussa Ilboudo</t>
        </is>
      </c>
      <c r="F474" t="n">
        <v>6619</v>
      </c>
      <c r="G474" t="inlineStr">
        <is>
          <t>Casque de chantier — réf 1</t>
        </is>
      </c>
      <c r="H474" t="inlineStr">
        <is>
          <t>Consommables</t>
        </is>
      </c>
      <c r="I474" t="n">
        <v>2</v>
      </c>
      <c r="J474" s="5" t="n">
        <v>8575</v>
      </c>
      <c r="K474" s="6" t="n">
        <v>0.04</v>
      </c>
      <c r="L474" s="5" t="n">
        <v>16464</v>
      </c>
      <c r="M474" s="5" t="n">
        <v>19428</v>
      </c>
      <c r="N474" s="5">
        <f>ROUND(I474*J474*(1-K474),0)</f>
        <v/>
      </c>
    </row>
    <row r="475">
      <c r="A475" t="inlineStr">
        <is>
          <t>T05-251202-113654</t>
        </is>
      </c>
      <c r="B475" s="4" t="n">
        <v>45993</v>
      </c>
      <c r="C475" t="inlineStr">
        <is>
          <t>07:22</t>
        </is>
      </c>
      <c r="D475" t="inlineStr">
        <is>
          <t>Magasin 5 — Kaya Marché</t>
        </is>
      </c>
      <c r="E475" t="inlineStr">
        <is>
          <t>Salamatu Sankara</t>
        </is>
      </c>
      <c r="F475" t="n">
        <v>3800</v>
      </c>
      <c r="G475" t="inlineStr">
        <is>
          <t>Brique de terre cuite — réf 2</t>
        </is>
      </c>
      <c r="H475" t="inlineStr">
        <is>
          <t>Matériaux</t>
        </is>
      </c>
      <c r="I475" t="n">
        <v>3</v>
      </c>
      <c r="J475" s="5" t="n">
        <v>700</v>
      </c>
      <c r="K475" s="6" t="n">
        <v>0</v>
      </c>
      <c r="L475" s="5" t="n">
        <v>2100</v>
      </c>
      <c r="M475" s="5" t="n">
        <v>2478</v>
      </c>
      <c r="N475" s="5">
        <f>ROUND(I475*J475*(1-K475),0)</f>
        <v/>
      </c>
    </row>
    <row r="476">
      <c r="A476" t="inlineStr">
        <is>
          <t>T05-251202-113655</t>
        </is>
      </c>
      <c r="B476" s="4" t="n">
        <v>45993</v>
      </c>
      <c r="C476" t="inlineStr">
        <is>
          <t>13:54</t>
        </is>
      </c>
      <c r="D476" t="inlineStr">
        <is>
          <t>Magasin 5 — Kaya Marché</t>
        </is>
      </c>
      <c r="E476" t="inlineStr">
        <is>
          <t>Boureima Ouédraogo</t>
        </is>
      </c>
      <c r="F476" t="n">
        <v>13724</v>
      </c>
      <c r="G476" t="inlineStr">
        <is>
          <t>Plâtre de construction 25 kg — réf 2</t>
        </is>
      </c>
      <c r="H476" t="inlineStr">
        <is>
          <t>Matériaux</t>
        </is>
      </c>
      <c r="I476" t="n">
        <v>2</v>
      </c>
      <c r="J476" s="5" t="n">
        <v>5950</v>
      </c>
      <c r="K476" s="6" t="n">
        <v>0</v>
      </c>
      <c r="L476" s="5" t="n">
        <v>11900</v>
      </c>
      <c r="M476" s="5" t="n">
        <v>14042</v>
      </c>
      <c r="N476" s="5">
        <f>ROUND(I476*J476*(1-K476),0)</f>
        <v/>
      </c>
    </row>
    <row r="477">
      <c r="A477" t="inlineStr">
        <is>
          <t>T05-251202-113655</t>
        </is>
      </c>
      <c r="B477" s="4" t="n">
        <v>45993</v>
      </c>
      <c r="C477" t="inlineStr">
        <is>
          <t>14:31</t>
        </is>
      </c>
      <c r="D477" t="inlineStr">
        <is>
          <t>Magasin 5 — Kaya Marché</t>
        </is>
      </c>
      <c r="E477" t="inlineStr">
        <is>
          <t>Salamatu Sankara</t>
        </is>
      </c>
      <c r="F477" t="n">
        <v>3969</v>
      </c>
      <c r="G477" t="inlineStr">
        <is>
          <t>Gravier 15/25 (m3) — réf 1</t>
        </is>
      </c>
      <c r="H477" t="inlineStr">
        <is>
          <t>Matériaux</t>
        </is>
      </c>
      <c r="I477" t="n">
        <v>4</v>
      </c>
      <c r="J477" s="5" t="n">
        <v>31125</v>
      </c>
      <c r="K477" s="6" t="n">
        <v>0.04</v>
      </c>
      <c r="L477" s="5" t="n">
        <v>119520</v>
      </c>
      <c r="M477" s="5" t="n">
        <v>141034</v>
      </c>
      <c r="N477" s="5">
        <f>ROUND(I477*J477*(1-K477),0)</f>
        <v/>
      </c>
    </row>
    <row r="478">
      <c r="A478" t="inlineStr">
        <is>
          <t>T05-251202-113656</t>
        </is>
      </c>
      <c r="B478" s="4" t="n">
        <v>45993</v>
      </c>
      <c r="C478" t="inlineStr">
        <is>
          <t>08:36</t>
        </is>
      </c>
      <c r="D478" t="inlineStr">
        <is>
          <t>Magasin 5 — Kaya Marché</t>
        </is>
      </c>
      <c r="E478" t="inlineStr">
        <is>
          <t>Salamatu Sankara</t>
        </is>
      </c>
      <c r="F478" t="n">
        <v>14287</v>
      </c>
      <c r="G478" t="inlineStr">
        <is>
          <t>Casque de chantier — réf 2</t>
        </is>
      </c>
      <c r="H478" t="inlineStr">
        <is>
          <t>Consommables</t>
        </is>
      </c>
      <c r="I478" t="n">
        <v>4</v>
      </c>
      <c r="J478" s="5" t="n">
        <v>5350</v>
      </c>
      <c r="K478" s="6" t="n">
        <v>0</v>
      </c>
      <c r="L478" s="5" t="n">
        <v>21400</v>
      </c>
      <c r="M478" s="5" t="n">
        <v>25252</v>
      </c>
      <c r="N478" s="5">
        <f>ROUND(I478*J478*(1-K478),0)</f>
        <v/>
      </c>
    </row>
    <row r="479">
      <c r="A479" t="inlineStr">
        <is>
          <t>T05-251202-113656</t>
        </is>
      </c>
      <c r="B479" s="4" t="n">
        <v>45993</v>
      </c>
      <c r="C479" t="inlineStr">
        <is>
          <t>12:53</t>
        </is>
      </c>
      <c r="D479" t="inlineStr">
        <is>
          <t>Magasin 5 — Kaya Marché</t>
        </is>
      </c>
      <c r="E479" t="inlineStr">
        <is>
          <t>Salamatu Sankara</t>
        </is>
      </c>
      <c r="F479" t="n">
        <v>5921</v>
      </c>
      <c r="G479" t="inlineStr">
        <is>
          <t>Clé plate 13 — réf 1</t>
        </is>
      </c>
      <c r="H479" t="inlineStr">
        <is>
          <t>Quincaillerie</t>
        </is>
      </c>
      <c r="I479" t="n">
        <v>4</v>
      </c>
      <c r="J479" s="5" t="n">
        <v>9900</v>
      </c>
      <c r="K479" s="6" t="n">
        <v>0.03</v>
      </c>
      <c r="L479" s="5" t="n">
        <v>38412</v>
      </c>
      <c r="M479" s="5" t="n">
        <v>45326</v>
      </c>
      <c r="N479" s="5">
        <f>ROUND(I479*J479*(1-K479),0)</f>
        <v/>
      </c>
    </row>
    <row r="480">
      <c r="A480" t="inlineStr">
        <is>
          <t>T05-251202-113657</t>
        </is>
      </c>
      <c r="B480" s="4" t="n">
        <v>45993</v>
      </c>
      <c r="C480" t="inlineStr">
        <is>
          <t>11:20</t>
        </is>
      </c>
      <c r="D480" t="inlineStr">
        <is>
          <t>Magasin 5 — Kaya Marché</t>
        </is>
      </c>
      <c r="E480" t="inlineStr">
        <is>
          <t>Adama Bationo</t>
        </is>
      </c>
      <c r="F480" t="n">
        <v>20693</v>
      </c>
      <c r="G480" t="inlineStr">
        <is>
          <t>Enduit de rebouchage 5 kg — réf 2</t>
        </is>
      </c>
      <c r="H480" t="inlineStr">
        <is>
          <t>Peinture</t>
        </is>
      </c>
      <c r="I480" t="n">
        <v>36</v>
      </c>
      <c r="J480" s="5" t="n">
        <v>4900</v>
      </c>
      <c r="K480" s="6" t="n">
        <v>0</v>
      </c>
      <c r="L480" s="5" t="n">
        <v>176400</v>
      </c>
      <c r="M480" s="5" t="n">
        <v>208152</v>
      </c>
      <c r="N480" s="5">
        <f>ROUND(I480*J480*(1-K480),0)</f>
        <v/>
      </c>
    </row>
    <row r="481">
      <c r="A481" t="inlineStr">
        <is>
          <t>T05-251202-113657</t>
        </is>
      </c>
      <c r="B481" s="4" t="n">
        <v>45993</v>
      </c>
      <c r="C481" t="inlineStr">
        <is>
          <t>07:28</t>
        </is>
      </c>
      <c r="D481" t="inlineStr">
        <is>
          <t>Magasin 5 — Kaya Marché</t>
        </is>
      </c>
      <c r="E481" t="inlineStr">
        <is>
          <t>Salamatu Sankara</t>
        </is>
      </c>
      <c r="F481" t="n">
        <v>0</v>
      </c>
      <c r="G481" t="inlineStr">
        <is>
          <t>Sac de transport 100 kg — réf 2</t>
        </is>
      </c>
      <c r="H481" t="inlineStr">
        <is>
          <t>Consommables</t>
        </is>
      </c>
      <c r="I481" t="n">
        <v>2</v>
      </c>
      <c r="J481" s="5" t="n">
        <v>7550</v>
      </c>
      <c r="K481" s="6" t="n">
        <v>0</v>
      </c>
      <c r="L481" s="5" t="n">
        <v>15100</v>
      </c>
      <c r="M481" s="5" t="n">
        <v>17818</v>
      </c>
      <c r="N481" s="5">
        <f>ROUND(I481*J481*(1-K481),0)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8" customWidth="1" min="4" max="4"/>
    <col width="7" customWidth="1" min="5" max="5"/>
    <col width="12" customWidth="1" min="6" max="6"/>
    <col width="12" customWidth="1" min="7" max="7"/>
    <col width="16" customWidth="1" min="8" max="8"/>
    <col width="16" customWidth="1" min="9" max="9"/>
    <col width="6" customWidth="1" min="10" max="10"/>
    <col width="6" customWidth="1" min="11" max="11"/>
  </cols>
  <sheetData>
    <row r="1">
      <c r="A1" s="3" t="inlineStr">
        <is>
          <t>id_produit</t>
        </is>
      </c>
      <c r="B1" s="3" t="inlineStr">
        <is>
          <t>designation</t>
        </is>
      </c>
      <c r="C1" s="3" t="inlineStr">
        <is>
          <t>categorie</t>
        </is>
      </c>
      <c r="D1" s="3" t="inlineStr">
        <is>
          <t>sous_categorie</t>
        </is>
      </c>
      <c r="E1" s="3" t="inlineStr">
        <is>
          <t>unite</t>
        </is>
      </c>
      <c r="F1" s="3" t="inlineStr">
        <is>
          <t>prix_vente_ht</t>
        </is>
      </c>
      <c r="G1" s="3" t="inlineStr">
        <is>
          <t>poids_unite_kg</t>
        </is>
      </c>
      <c r="H1" s="3" t="inlineStr">
        <is>
          <t>fournisseur</t>
        </is>
      </c>
      <c r="I1" s="3" t="inlineStr">
        <is>
          <t>reference_fournisseur</t>
        </is>
      </c>
      <c r="J1" s="3" t="inlineStr">
        <is>
          <t>tva</t>
        </is>
      </c>
      <c r="K1" s="3" t="inlineStr">
        <is>
          <t>actif</t>
        </is>
      </c>
    </row>
    <row r="2">
      <c r="A2" t="n">
        <v>1</v>
      </c>
      <c r="B2" t="inlineStr">
        <is>
          <t>Ciment CPJ45 50 kg — réf 1</t>
        </is>
      </c>
      <c r="C2" t="inlineStr">
        <is>
          <t>Matériaux</t>
        </is>
      </c>
      <c r="D2" t="inlineStr">
        <is>
          <t>Ciment &amp; liants</t>
        </is>
      </c>
      <c r="E2" t="inlineStr">
        <is>
          <t>sac</t>
        </is>
      </c>
      <c r="F2" t="n">
        <v>5200</v>
      </c>
      <c r="G2" t="n">
        <v>33.17</v>
      </c>
      <c r="H2" t="inlineStr">
        <is>
          <t>CIMAF Sahel</t>
        </is>
      </c>
      <c r="I2" t="inlineStr">
        <is>
          <t>MAT-0001</t>
        </is>
      </c>
      <c r="J2" t="n">
        <v>0.18</v>
      </c>
      <c r="K2" t="n">
        <v>1</v>
      </c>
    </row>
    <row r="3">
      <c r="A3" t="n">
        <v>2</v>
      </c>
      <c r="B3" t="inlineStr">
        <is>
          <t>Ciment CPJ45 50 kg — réf 2</t>
        </is>
      </c>
      <c r="C3" t="inlineStr">
        <is>
          <t>Matériaux</t>
        </is>
      </c>
      <c r="D3" t="inlineStr">
        <is>
          <t>Ciment &amp; liants</t>
        </is>
      </c>
      <c r="E3" t="inlineStr">
        <is>
          <t>sac</t>
        </is>
      </c>
      <c r="F3" t="n">
        <v>5575</v>
      </c>
      <c r="G3" t="n">
        <v>28.24</v>
      </c>
      <c r="H3" t="inlineStr">
        <is>
          <t>CIMAF Sahel</t>
        </is>
      </c>
      <c r="I3" t="inlineStr">
        <is>
          <t>MAT-0002</t>
        </is>
      </c>
      <c r="J3" t="n">
        <v>0.18</v>
      </c>
      <c r="K3" t="n">
        <v>1</v>
      </c>
    </row>
    <row r="4">
      <c r="A4" t="n">
        <v>3</v>
      </c>
      <c r="B4" t="inlineStr">
        <is>
          <t>Ciment CPJ35 50 kg — réf 1</t>
        </is>
      </c>
      <c r="C4" t="inlineStr">
        <is>
          <t>Matériaux</t>
        </is>
      </c>
      <c r="D4" t="inlineStr">
        <is>
          <t>Ciment &amp; liants</t>
        </is>
      </c>
      <c r="E4" t="inlineStr">
        <is>
          <t>sac</t>
        </is>
      </c>
      <c r="F4" t="n">
        <v>5275</v>
      </c>
      <c r="G4" t="n">
        <v>55.6</v>
      </c>
      <c r="H4" t="inlineStr">
        <is>
          <t>CIMAF Sahel</t>
        </is>
      </c>
      <c r="I4" t="inlineStr">
        <is>
          <t>MAT-0003</t>
        </is>
      </c>
      <c r="J4" t="n">
        <v>0.18</v>
      </c>
      <c r="K4" t="n">
        <v>1</v>
      </c>
    </row>
    <row r="5">
      <c r="A5" t="n">
        <v>4</v>
      </c>
      <c r="B5" t="inlineStr">
        <is>
          <t>Ciment CPJ35 50 kg — réf 2</t>
        </is>
      </c>
      <c r="C5" t="inlineStr">
        <is>
          <t>Matériaux</t>
        </is>
      </c>
      <c r="D5" t="inlineStr">
        <is>
          <t>Ciment &amp; liants</t>
        </is>
      </c>
      <c r="E5" t="inlineStr">
        <is>
          <t>sac</t>
        </is>
      </c>
      <c r="F5" t="n">
        <v>3550</v>
      </c>
      <c r="G5" t="n">
        <v>32.68</v>
      </c>
      <c r="H5" t="inlineStr">
        <is>
          <t>CIMAF Sahel</t>
        </is>
      </c>
      <c r="I5" t="inlineStr">
        <is>
          <t>MAT-0004</t>
        </is>
      </c>
      <c r="J5" t="n">
        <v>0.18</v>
      </c>
      <c r="K5" t="n">
        <v>1</v>
      </c>
    </row>
    <row r="6">
      <c r="A6" t="n">
        <v>5</v>
      </c>
      <c r="B6" t="inlineStr">
        <is>
          <t>Chaux aérienne 25 kg — réf 1</t>
        </is>
      </c>
      <c r="C6" t="inlineStr">
        <is>
          <t>Matériaux</t>
        </is>
      </c>
      <c r="D6" t="inlineStr">
        <is>
          <t>Ciment &amp; liants</t>
        </is>
      </c>
      <c r="E6" t="inlineStr">
        <is>
          <t>sac</t>
        </is>
      </c>
      <c r="F6" t="n">
        <v>4400</v>
      </c>
      <c r="G6" t="n">
        <v>26.29</v>
      </c>
      <c r="H6" t="inlineStr">
        <is>
          <t>CIMAF Sahel</t>
        </is>
      </c>
      <c r="I6" t="inlineStr">
        <is>
          <t>MAT-0005</t>
        </is>
      </c>
      <c r="J6" t="n">
        <v>0.18</v>
      </c>
      <c r="K6" t="n">
        <v>1</v>
      </c>
    </row>
    <row r="7">
      <c r="A7" t="n">
        <v>6</v>
      </c>
      <c r="B7" t="inlineStr">
        <is>
          <t>Chaux aérienne 25 kg — réf 2</t>
        </is>
      </c>
      <c r="C7" t="inlineStr">
        <is>
          <t>Matériaux</t>
        </is>
      </c>
      <c r="D7" t="inlineStr">
        <is>
          <t>Ciment &amp; liants</t>
        </is>
      </c>
      <c r="E7" t="inlineStr">
        <is>
          <t>sac</t>
        </is>
      </c>
      <c r="F7" t="n">
        <v>6925</v>
      </c>
      <c r="G7" t="n">
        <v>59.63</v>
      </c>
      <c r="H7" t="inlineStr">
        <is>
          <t>CIMAF Sahel</t>
        </is>
      </c>
      <c r="I7" t="inlineStr">
        <is>
          <t>MAT-0006</t>
        </is>
      </c>
      <c r="J7" t="n">
        <v>0.18</v>
      </c>
      <c r="K7" t="n">
        <v>1</v>
      </c>
    </row>
    <row r="8">
      <c r="A8" t="n">
        <v>7</v>
      </c>
      <c r="B8" t="inlineStr">
        <is>
          <t>Plâtre de construction 25 kg — réf 1</t>
        </is>
      </c>
      <c r="C8" t="inlineStr">
        <is>
          <t>Matériaux</t>
        </is>
      </c>
      <c r="D8" t="inlineStr">
        <is>
          <t>Ciment &amp; liants</t>
        </is>
      </c>
      <c r="E8" t="inlineStr">
        <is>
          <t>sac</t>
        </is>
      </c>
      <c r="F8" t="n">
        <v>3750</v>
      </c>
      <c r="G8" t="n">
        <v>33.06</v>
      </c>
      <c r="H8" t="inlineStr">
        <is>
          <t>CIMAF Sahel</t>
        </is>
      </c>
      <c r="I8" t="inlineStr">
        <is>
          <t>MAT-0007</t>
        </is>
      </c>
      <c r="J8" t="n">
        <v>0.18</v>
      </c>
      <c r="K8" t="n">
        <v>1</v>
      </c>
    </row>
    <row r="9">
      <c r="A9" t="n">
        <v>8</v>
      </c>
      <c r="B9" t="inlineStr">
        <is>
          <t>Plâtre de construction 25 kg — réf 2</t>
        </is>
      </c>
      <c r="C9" t="inlineStr">
        <is>
          <t>Matériaux</t>
        </is>
      </c>
      <c r="D9" t="inlineStr">
        <is>
          <t>Ciment &amp; liants</t>
        </is>
      </c>
      <c r="E9" t="inlineStr">
        <is>
          <t>sac</t>
        </is>
      </c>
      <c r="F9" t="n">
        <v>5150</v>
      </c>
      <c r="G9" t="n">
        <v>67.68000000000001</v>
      </c>
      <c r="H9" t="inlineStr">
        <is>
          <t>CIMAF Sahel</t>
        </is>
      </c>
      <c r="I9" t="inlineStr">
        <is>
          <t>MAT-0008</t>
        </is>
      </c>
      <c r="J9" t="n">
        <v>0.18</v>
      </c>
      <c r="K9" t="n">
        <v>1</v>
      </c>
    </row>
    <row r="10">
      <c r="A10" t="n">
        <v>9</v>
      </c>
      <c r="B10" t="inlineStr">
        <is>
          <t>Colle à carrelage 25 kg — réf 1</t>
        </is>
      </c>
      <c r="C10" t="inlineStr">
        <is>
          <t>Matériaux</t>
        </is>
      </c>
      <c r="D10" t="inlineStr">
        <is>
          <t>Ciment &amp; liants</t>
        </is>
      </c>
      <c r="E10" t="inlineStr">
        <is>
          <t>sac</t>
        </is>
      </c>
      <c r="F10" t="n">
        <v>5075</v>
      </c>
      <c r="G10" t="n">
        <v>38.98</v>
      </c>
      <c r="H10" t="inlineStr">
        <is>
          <t>CIMAF Sahel</t>
        </is>
      </c>
      <c r="I10" t="inlineStr">
        <is>
          <t>MAT-0009</t>
        </is>
      </c>
      <c r="J10" t="n">
        <v>0.18</v>
      </c>
      <c r="K10" t="n">
        <v>1</v>
      </c>
    </row>
    <row r="11">
      <c r="A11" t="n">
        <v>10</v>
      </c>
      <c r="B11" t="inlineStr">
        <is>
          <t>Colle à carrelage 25 kg — réf 2</t>
        </is>
      </c>
      <c r="C11" t="inlineStr">
        <is>
          <t>Matériaux</t>
        </is>
      </c>
      <c r="D11" t="inlineStr">
        <is>
          <t>Ciment &amp; liants</t>
        </is>
      </c>
      <c r="E11" t="inlineStr">
        <is>
          <t>sac</t>
        </is>
      </c>
      <c r="F11" t="n">
        <v>3775</v>
      </c>
      <c r="G11" t="n">
        <v>34.15</v>
      </c>
      <c r="H11" t="inlineStr">
        <is>
          <t>CIMAF Sahel</t>
        </is>
      </c>
      <c r="I11" t="inlineStr">
        <is>
          <t>MAT-0010</t>
        </is>
      </c>
      <c r="J11" t="n">
        <v>0.18</v>
      </c>
      <c r="K11" t="n">
        <v>1</v>
      </c>
    </row>
    <row r="12">
      <c r="A12" t="n">
        <v>11</v>
      </c>
      <c r="B12" t="inlineStr">
        <is>
          <t>Enduit de lissage 20 kg — réf 1</t>
        </is>
      </c>
      <c r="C12" t="inlineStr">
        <is>
          <t>Matériaux</t>
        </is>
      </c>
      <c r="D12" t="inlineStr">
        <is>
          <t>Ciment &amp; liants</t>
        </is>
      </c>
      <c r="E12" t="inlineStr">
        <is>
          <t>sac</t>
        </is>
      </c>
      <c r="F12" t="n">
        <v>6300</v>
      </c>
      <c r="G12" t="n">
        <v>47.56</v>
      </c>
      <c r="H12" t="inlineStr">
        <is>
          <t>CIMAF Sahel</t>
        </is>
      </c>
      <c r="I12" t="inlineStr">
        <is>
          <t>MAT-0011</t>
        </is>
      </c>
      <c r="J12" t="n">
        <v>0.18</v>
      </c>
      <c r="K12" t="n">
        <v>1</v>
      </c>
    </row>
    <row r="13">
      <c r="A13" t="n">
        <v>12</v>
      </c>
      <c r="B13" t="inlineStr">
        <is>
          <t>Enduit de lissage 20 kg — réf 2</t>
        </is>
      </c>
      <c r="C13" t="inlineStr">
        <is>
          <t>Matériaux</t>
        </is>
      </c>
      <c r="D13" t="inlineStr">
        <is>
          <t>Ciment &amp; liants</t>
        </is>
      </c>
      <c r="E13" t="inlineStr">
        <is>
          <t>sac</t>
        </is>
      </c>
      <c r="F13" t="n">
        <v>5500</v>
      </c>
      <c r="G13" t="n">
        <v>56.29</v>
      </c>
      <c r="H13" t="inlineStr">
        <is>
          <t>CIMAF Sahel</t>
        </is>
      </c>
      <c r="I13" t="inlineStr">
        <is>
          <t>MAT-0012</t>
        </is>
      </c>
      <c r="J13" t="n">
        <v>0.18</v>
      </c>
      <c r="K13" t="n">
        <v>1</v>
      </c>
    </row>
    <row r="14">
      <c r="A14" t="n">
        <v>13</v>
      </c>
      <c r="B14" t="inlineStr">
        <is>
          <t>Parpaing 15 aggloméré — réf 1</t>
        </is>
      </c>
      <c r="C14" t="inlineStr">
        <is>
          <t>Matériaux</t>
        </is>
      </c>
      <c r="D14" t="inlineStr">
        <is>
          <t>Agglomérés &amp; briques</t>
        </is>
      </c>
      <c r="E14" t="inlineStr">
        <is>
          <t>unité</t>
        </is>
      </c>
      <c r="F14" t="n">
        <v>1250</v>
      </c>
      <c r="G14" t="n">
        <v>1.85</v>
      </c>
      <c r="H14" t="inlineStr">
        <is>
          <t>Matériaux Kaboré</t>
        </is>
      </c>
      <c r="I14" t="inlineStr">
        <is>
          <t>MAT-0013</t>
        </is>
      </c>
      <c r="J14" t="n">
        <v>0.18</v>
      </c>
      <c r="K14" t="n">
        <v>1</v>
      </c>
    </row>
    <row r="15">
      <c r="A15" t="n">
        <v>14</v>
      </c>
      <c r="B15" t="inlineStr">
        <is>
          <t>Parpaing 15 aggloméré — réf 2</t>
        </is>
      </c>
      <c r="C15" t="inlineStr">
        <is>
          <t>Matériaux</t>
        </is>
      </c>
      <c r="D15" t="inlineStr">
        <is>
          <t>Agglomérés &amp; briques</t>
        </is>
      </c>
      <c r="E15" t="inlineStr">
        <is>
          <t>unité</t>
        </is>
      </c>
      <c r="F15" t="n">
        <v>1200</v>
      </c>
      <c r="G15" t="n">
        <v>4.28</v>
      </c>
      <c r="H15" t="inlineStr">
        <is>
          <t>Matériaux Kaboré</t>
        </is>
      </c>
      <c r="I15" t="inlineStr">
        <is>
          <t>MAT-0014</t>
        </is>
      </c>
      <c r="J15" t="n">
        <v>0.18</v>
      </c>
      <c r="K15" t="n">
        <v>1</v>
      </c>
    </row>
    <row r="16">
      <c r="A16" t="n">
        <v>15</v>
      </c>
      <c r="B16" t="inlineStr">
        <is>
          <t>Brique de terre cuite — réf 1</t>
        </is>
      </c>
      <c r="C16" t="inlineStr">
        <is>
          <t>Matériaux</t>
        </is>
      </c>
      <c r="D16" t="inlineStr">
        <is>
          <t>Agglomérés &amp; briques</t>
        </is>
      </c>
      <c r="E16" t="inlineStr">
        <is>
          <t>unité</t>
        </is>
      </c>
      <c r="F16" t="n">
        <v>900</v>
      </c>
      <c r="G16" t="n">
        <v>2.94</v>
      </c>
      <c r="H16" t="inlineStr">
        <is>
          <t>Matériaux Kaboré</t>
        </is>
      </c>
      <c r="I16" t="inlineStr">
        <is>
          <t>MAT-0015</t>
        </is>
      </c>
      <c r="J16" t="n">
        <v>0.18</v>
      </c>
      <c r="K16" t="n">
        <v>1</v>
      </c>
    </row>
    <row r="17">
      <c r="A17" t="n">
        <v>16</v>
      </c>
      <c r="B17" t="inlineStr">
        <is>
          <t>Brique de terre cuite — réf 2</t>
        </is>
      </c>
      <c r="C17" t="inlineStr">
        <is>
          <t>Matériaux</t>
        </is>
      </c>
      <c r="D17" t="inlineStr">
        <is>
          <t>Agglomérés &amp; briques</t>
        </is>
      </c>
      <c r="E17" t="inlineStr">
        <is>
          <t>unité</t>
        </is>
      </c>
      <c r="F17" t="n">
        <v>600</v>
      </c>
      <c r="G17" t="n">
        <v>2.9</v>
      </c>
      <c r="H17" t="inlineStr">
        <is>
          <t>Matériaux Kaboré</t>
        </is>
      </c>
      <c r="I17" t="inlineStr">
        <is>
          <t>MAT-0016</t>
        </is>
      </c>
      <c r="J17" t="n">
        <v>0.18</v>
      </c>
      <c r="K17" t="n">
        <v>1</v>
      </c>
    </row>
    <row r="18">
      <c r="A18" t="n">
        <v>17</v>
      </c>
      <c r="B18" t="inlineStr">
        <is>
          <t>Carreau de pavement 40x40 — réf 1</t>
        </is>
      </c>
      <c r="C18" t="inlineStr">
        <is>
          <t>Matériaux</t>
        </is>
      </c>
      <c r="D18" t="inlineStr">
        <is>
          <t>Agglomérés &amp; briques</t>
        </is>
      </c>
      <c r="E18" t="inlineStr">
        <is>
          <t>unité</t>
        </is>
      </c>
      <c r="F18" t="n">
        <v>900</v>
      </c>
      <c r="G18" t="n">
        <v>1.61</v>
      </c>
      <c r="H18" t="inlineStr">
        <is>
          <t>Matériaux Kaboré</t>
        </is>
      </c>
      <c r="I18" t="inlineStr">
        <is>
          <t>MAT-0017</t>
        </is>
      </c>
      <c r="J18" t="n">
        <v>0.18</v>
      </c>
      <c r="K18" t="n">
        <v>1</v>
      </c>
    </row>
    <row r="19">
      <c r="A19" t="n">
        <v>18</v>
      </c>
      <c r="B19" t="inlineStr">
        <is>
          <t>Carreau de pavement 40x40 — réf 2</t>
        </is>
      </c>
      <c r="C19" t="inlineStr">
        <is>
          <t>Matériaux</t>
        </is>
      </c>
      <c r="D19" t="inlineStr">
        <is>
          <t>Agglomérés &amp; briques</t>
        </is>
      </c>
      <c r="E19" t="inlineStr">
        <is>
          <t>unité</t>
        </is>
      </c>
      <c r="F19" t="n">
        <v>925</v>
      </c>
      <c r="G19" t="n">
        <v>4.38</v>
      </c>
      <c r="H19" t="inlineStr">
        <is>
          <t>Matériaux Kaboré</t>
        </is>
      </c>
      <c r="I19" t="inlineStr">
        <is>
          <t>MAT-0018</t>
        </is>
      </c>
      <c r="J19" t="n">
        <v>0.18</v>
      </c>
      <c r="K19" t="n">
        <v>1</v>
      </c>
    </row>
    <row r="20">
      <c r="A20" t="n">
        <v>19</v>
      </c>
      <c r="B20" t="inlineStr">
        <is>
          <t>Hourdis creux 12 — réf 1</t>
        </is>
      </c>
      <c r="C20" t="inlineStr">
        <is>
          <t>Matériaux</t>
        </is>
      </c>
      <c r="D20" t="inlineStr">
        <is>
          <t>Agglomérés &amp; briques</t>
        </is>
      </c>
      <c r="E20" t="inlineStr">
        <is>
          <t>unité</t>
        </is>
      </c>
      <c r="F20" t="n">
        <v>900</v>
      </c>
      <c r="G20" t="n">
        <v>4.6</v>
      </c>
      <c r="H20" t="inlineStr">
        <is>
          <t>Matériaux Kaboré</t>
        </is>
      </c>
      <c r="I20" t="inlineStr">
        <is>
          <t>MAT-0019</t>
        </is>
      </c>
      <c r="J20" t="n">
        <v>0.18</v>
      </c>
      <c r="K20" t="n">
        <v>1</v>
      </c>
    </row>
    <row r="21">
      <c r="A21" t="n">
        <v>20</v>
      </c>
      <c r="B21" t="inlineStr">
        <is>
          <t>Hourdis creux 12 — réf 2</t>
        </is>
      </c>
      <c r="C21" t="inlineStr">
        <is>
          <t>Matériaux</t>
        </is>
      </c>
      <c r="D21" t="inlineStr">
        <is>
          <t>Agglomérés &amp; briques</t>
        </is>
      </c>
      <c r="E21" t="inlineStr">
        <is>
          <t>unité</t>
        </is>
      </c>
      <c r="F21" t="n">
        <v>1325</v>
      </c>
      <c r="G21" t="n">
        <v>4.7</v>
      </c>
      <c r="H21" t="inlineStr">
        <is>
          <t>Matériaux Kaboré</t>
        </is>
      </c>
      <c r="I21" t="inlineStr">
        <is>
          <t>MAT-0020</t>
        </is>
      </c>
      <c r="J21" t="n">
        <v>0.18</v>
      </c>
      <c r="K21" t="n">
        <v>1</v>
      </c>
    </row>
    <row r="22">
      <c r="A22" t="n">
        <v>21</v>
      </c>
      <c r="B22" t="inlineStr">
        <is>
          <t>Pavé autobloquant — réf 1</t>
        </is>
      </c>
      <c r="C22" t="inlineStr">
        <is>
          <t>Matériaux</t>
        </is>
      </c>
      <c r="D22" t="inlineStr">
        <is>
          <t>Agglomérés &amp; briques</t>
        </is>
      </c>
      <c r="E22" t="inlineStr">
        <is>
          <t>unité</t>
        </is>
      </c>
      <c r="F22" t="n">
        <v>975</v>
      </c>
      <c r="G22" t="n">
        <v>2.59</v>
      </c>
      <c r="H22" t="inlineStr">
        <is>
          <t>Matériaux Kaboré</t>
        </is>
      </c>
      <c r="I22" t="inlineStr">
        <is>
          <t>MAT-0021</t>
        </is>
      </c>
      <c r="J22" t="n">
        <v>0.18</v>
      </c>
      <c r="K22" t="n">
        <v>1</v>
      </c>
    </row>
    <row r="23">
      <c r="A23" t="n">
        <v>22</v>
      </c>
      <c r="B23" t="inlineStr">
        <is>
          <t>Pavé autobloquant — réf 2</t>
        </is>
      </c>
      <c r="C23" t="inlineStr">
        <is>
          <t>Matériaux</t>
        </is>
      </c>
      <c r="D23" t="inlineStr">
        <is>
          <t>Agglomérés &amp; briques</t>
        </is>
      </c>
      <c r="E23" t="inlineStr">
        <is>
          <t>unité</t>
        </is>
      </c>
      <c r="F23" t="n">
        <v>600</v>
      </c>
      <c r="G23" t="n">
        <v>3.61</v>
      </c>
      <c r="H23" t="inlineStr">
        <is>
          <t>Matériaux Kaboré</t>
        </is>
      </c>
      <c r="I23" t="inlineStr">
        <is>
          <t>MAT-0022</t>
        </is>
      </c>
      <c r="J23" t="n">
        <v>0.18</v>
      </c>
      <c r="K23" t="n">
        <v>1</v>
      </c>
    </row>
    <row r="24">
      <c r="A24" t="n">
        <v>23</v>
      </c>
      <c r="B24" t="inlineStr">
        <is>
          <t>Sable de rivière (m3) — réf 1</t>
        </is>
      </c>
      <c r="C24" t="inlineStr">
        <is>
          <t>Matériaux</t>
        </is>
      </c>
      <c r="D24" t="inlineStr">
        <is>
          <t>Sable &amp; gravier</t>
        </is>
      </c>
      <c r="E24" t="inlineStr">
        <is>
          <t>m3</t>
        </is>
      </c>
      <c r="F24" t="n">
        <v>22275</v>
      </c>
      <c r="G24" t="n">
        <v>1407.71</v>
      </c>
      <c r="H24" t="inlineStr">
        <is>
          <t>Carrière Nakosin</t>
        </is>
      </c>
      <c r="I24" t="inlineStr">
        <is>
          <t>MAT-0023</t>
        </is>
      </c>
      <c r="J24" t="n">
        <v>0.18</v>
      </c>
      <c r="K24" t="n">
        <v>1</v>
      </c>
    </row>
    <row r="25">
      <c r="A25" t="n">
        <v>24</v>
      </c>
      <c r="B25" t="inlineStr">
        <is>
          <t>Sable de rivière (m3) — réf 2</t>
        </is>
      </c>
      <c r="C25" t="inlineStr">
        <is>
          <t>Matériaux</t>
        </is>
      </c>
      <c r="D25" t="inlineStr">
        <is>
          <t>Sable &amp; gravier</t>
        </is>
      </c>
      <c r="E25" t="inlineStr">
        <is>
          <t>m3</t>
        </is>
      </c>
      <c r="F25" t="n">
        <v>22475</v>
      </c>
      <c r="G25" t="n">
        <v>1124.6</v>
      </c>
      <c r="H25" t="inlineStr">
        <is>
          <t>Carrière Nakosin</t>
        </is>
      </c>
      <c r="I25" t="inlineStr">
        <is>
          <t>MAT-0024</t>
        </is>
      </c>
      <c r="J25" t="n">
        <v>0.18</v>
      </c>
      <c r="K25" t="n">
        <v>1</v>
      </c>
    </row>
    <row r="26">
      <c r="A26" t="n">
        <v>25</v>
      </c>
      <c r="B26" t="inlineStr">
        <is>
          <t>Gravier 15/25 (m3) — réf 1</t>
        </is>
      </c>
      <c r="C26" t="inlineStr">
        <is>
          <t>Matériaux</t>
        </is>
      </c>
      <c r="D26" t="inlineStr">
        <is>
          <t>Sable &amp; gravier</t>
        </is>
      </c>
      <c r="E26" t="inlineStr">
        <is>
          <t>m3</t>
        </is>
      </c>
      <c r="F26" t="n">
        <v>26800</v>
      </c>
      <c r="G26" t="n">
        <v>1539.61</v>
      </c>
      <c r="H26" t="inlineStr">
        <is>
          <t>Carrière Nakosin</t>
        </is>
      </c>
      <c r="I26" t="inlineStr">
        <is>
          <t>MAT-0025</t>
        </is>
      </c>
      <c r="J26" t="n">
        <v>0.18</v>
      </c>
      <c r="K26" t="n">
        <v>1</v>
      </c>
    </row>
    <row r="27">
      <c r="A27" t="n">
        <v>26</v>
      </c>
      <c r="B27" t="inlineStr">
        <is>
          <t>Gravier 15/25 (m3) — réf 2</t>
        </is>
      </c>
      <c r="C27" t="inlineStr">
        <is>
          <t>Matériaux</t>
        </is>
      </c>
      <c r="D27" t="inlineStr">
        <is>
          <t>Sable &amp; gravier</t>
        </is>
      </c>
      <c r="E27" t="inlineStr">
        <is>
          <t>m3</t>
        </is>
      </c>
      <c r="F27" t="n">
        <v>18450</v>
      </c>
      <c r="G27" t="n">
        <v>2225.34</v>
      </c>
      <c r="H27" t="inlineStr">
        <is>
          <t>Carrière Nakosin</t>
        </is>
      </c>
      <c r="I27" t="inlineStr">
        <is>
          <t>MAT-0026</t>
        </is>
      </c>
      <c r="J27" t="n">
        <v>0.18</v>
      </c>
      <c r="K27" t="n">
        <v>1</v>
      </c>
    </row>
    <row r="28">
      <c r="A28" t="n">
        <v>27</v>
      </c>
      <c r="B28" t="inlineStr">
        <is>
          <t>Tout-venant (m3) — réf 1</t>
        </is>
      </c>
      <c r="C28" t="inlineStr">
        <is>
          <t>Matériaux</t>
        </is>
      </c>
      <c r="D28" t="inlineStr">
        <is>
          <t>Sable &amp; gravier</t>
        </is>
      </c>
      <c r="E28" t="inlineStr">
        <is>
          <t>m3</t>
        </is>
      </c>
      <c r="F28" t="n">
        <v>13775</v>
      </c>
      <c r="G28" t="n">
        <v>1753.05</v>
      </c>
      <c r="H28" t="inlineStr">
        <is>
          <t>Carrière Nakosin</t>
        </is>
      </c>
      <c r="I28" t="inlineStr">
        <is>
          <t>MAT-0027</t>
        </is>
      </c>
      <c r="J28" t="n">
        <v>0.18</v>
      </c>
      <c r="K28" t="n">
        <v>1</v>
      </c>
    </row>
    <row r="29">
      <c r="A29" t="n">
        <v>28</v>
      </c>
      <c r="B29" t="inlineStr">
        <is>
          <t>Tout-venant (m3) — réf 2</t>
        </is>
      </c>
      <c r="C29" t="inlineStr">
        <is>
          <t>Matériaux</t>
        </is>
      </c>
      <c r="D29" t="inlineStr">
        <is>
          <t>Sable &amp; gravier</t>
        </is>
      </c>
      <c r="E29" t="inlineStr">
        <is>
          <t>m3</t>
        </is>
      </c>
      <c r="F29" t="n">
        <v>20300</v>
      </c>
      <c r="G29" t="n">
        <v>1194.97</v>
      </c>
      <c r="H29" t="inlineStr">
        <is>
          <t>Carrière Nakosin</t>
        </is>
      </c>
      <c r="I29" t="inlineStr">
        <is>
          <t>MAT-0028</t>
        </is>
      </c>
      <c r="J29" t="n">
        <v>0.18</v>
      </c>
      <c r="K29" t="n">
        <v>1</v>
      </c>
    </row>
    <row r="30">
      <c r="A30" t="n">
        <v>29</v>
      </c>
      <c r="B30" t="inlineStr">
        <is>
          <t>Vis à bois 4x40 (boîte) — réf 1</t>
        </is>
      </c>
      <c r="C30" t="inlineStr">
        <is>
          <t>Quincaillerie</t>
        </is>
      </c>
      <c r="D30" t="inlineStr">
        <is>
          <t>Fixations</t>
        </is>
      </c>
      <c r="E30" t="inlineStr">
        <is>
          <t>unité</t>
        </is>
      </c>
      <c r="F30" t="n">
        <v>1525</v>
      </c>
      <c r="G30" t="n">
        <v>0.3</v>
      </c>
      <c r="H30" t="inlineStr">
        <is>
          <t>Sahel Quincaillerie</t>
        </is>
      </c>
      <c r="I30" t="inlineStr">
        <is>
          <t>QUI-0029</t>
        </is>
      </c>
      <c r="J30" t="n">
        <v>0.18</v>
      </c>
      <c r="K30" t="n">
        <v>1</v>
      </c>
    </row>
    <row r="31">
      <c r="A31" t="n">
        <v>30</v>
      </c>
      <c r="B31" t="inlineStr">
        <is>
          <t>Vis à bois 4x40 (boîte) — réf 2</t>
        </is>
      </c>
      <c r="C31" t="inlineStr">
        <is>
          <t>Quincaillerie</t>
        </is>
      </c>
      <c r="D31" t="inlineStr">
        <is>
          <t>Fixations</t>
        </is>
      </c>
      <c r="E31" t="inlineStr">
        <is>
          <t>unité</t>
        </is>
      </c>
      <c r="F31" t="n">
        <v>1400</v>
      </c>
      <c r="G31" t="n">
        <v>0.41</v>
      </c>
      <c r="H31" t="inlineStr">
        <is>
          <t>Sahel Quincaillerie</t>
        </is>
      </c>
      <c r="I31" t="inlineStr">
        <is>
          <t>QUI-0030</t>
        </is>
      </c>
      <c r="J31" t="n">
        <v>0.18</v>
      </c>
      <c r="K31" t="n">
        <v>1</v>
      </c>
    </row>
    <row r="32">
      <c r="A32" t="n">
        <v>31</v>
      </c>
      <c r="B32" t="inlineStr">
        <is>
          <t>Cheville nylon 8 mm (sachet) — réf 1</t>
        </is>
      </c>
      <c r="C32" t="inlineStr">
        <is>
          <t>Quincaillerie</t>
        </is>
      </c>
      <c r="D32" t="inlineStr">
        <is>
          <t>Fixations</t>
        </is>
      </c>
      <c r="E32" t="inlineStr">
        <is>
          <t>unité</t>
        </is>
      </c>
      <c r="F32" t="n">
        <v>2125</v>
      </c>
      <c r="G32" t="n">
        <v>0.25</v>
      </c>
      <c r="H32" t="inlineStr">
        <is>
          <t>Sahel Quincaillerie</t>
        </is>
      </c>
      <c r="I32" t="inlineStr">
        <is>
          <t>QUI-0031</t>
        </is>
      </c>
      <c r="J32" t="n">
        <v>0.18</v>
      </c>
      <c r="K32" t="n">
        <v>1</v>
      </c>
    </row>
    <row r="33">
      <c r="A33" t="n">
        <v>32</v>
      </c>
      <c r="B33" t="inlineStr">
        <is>
          <t>Cheville nylon 8 mm (sachet) — réf 2</t>
        </is>
      </c>
      <c r="C33" t="inlineStr">
        <is>
          <t>Quincaillerie</t>
        </is>
      </c>
      <c r="D33" t="inlineStr">
        <is>
          <t>Fixations</t>
        </is>
      </c>
      <c r="E33" t="inlineStr">
        <is>
          <t>unité</t>
        </is>
      </c>
      <c r="F33" t="n">
        <v>1800</v>
      </c>
      <c r="G33" t="n">
        <v>0.53</v>
      </c>
      <c r="H33" t="inlineStr">
        <is>
          <t>Sahel Quincaillerie</t>
        </is>
      </c>
      <c r="I33" t="inlineStr">
        <is>
          <t>QUI-0032</t>
        </is>
      </c>
      <c r="J33" t="n">
        <v>0.18</v>
      </c>
      <c r="K33" t="n">
        <v>1</v>
      </c>
    </row>
    <row r="34">
      <c r="A34" t="n">
        <v>33</v>
      </c>
      <c r="B34" t="inlineStr">
        <is>
          <t>Pointe 100 mm (kg) — réf 1</t>
        </is>
      </c>
      <c r="C34" t="inlineStr">
        <is>
          <t>Quincaillerie</t>
        </is>
      </c>
      <c r="D34" t="inlineStr">
        <is>
          <t>Fixations</t>
        </is>
      </c>
      <c r="E34" t="inlineStr">
        <is>
          <t>unité</t>
        </is>
      </c>
      <c r="F34" t="n">
        <v>2125</v>
      </c>
      <c r="G34" t="n">
        <v>0.48</v>
      </c>
      <c r="H34" t="inlineStr">
        <is>
          <t>Sahel Quincaillerie</t>
        </is>
      </c>
      <c r="I34" t="inlineStr">
        <is>
          <t>QUI-0033</t>
        </is>
      </c>
      <c r="J34" t="n">
        <v>0.18</v>
      </c>
      <c r="K34" t="n">
        <v>1</v>
      </c>
    </row>
    <row r="35">
      <c r="A35" t="n">
        <v>34</v>
      </c>
      <c r="B35" t="inlineStr">
        <is>
          <t>Pointe 100 mm (kg) — réf 2</t>
        </is>
      </c>
      <c r="C35" t="inlineStr">
        <is>
          <t>Quincaillerie</t>
        </is>
      </c>
      <c r="D35" t="inlineStr">
        <is>
          <t>Fixations</t>
        </is>
      </c>
      <c r="E35" t="inlineStr">
        <is>
          <t>unité</t>
        </is>
      </c>
      <c r="F35" t="n">
        <v>1225</v>
      </c>
      <c r="G35" t="n">
        <v>0.4</v>
      </c>
      <c r="H35" t="inlineStr">
        <is>
          <t>Sahel Quincaillerie</t>
        </is>
      </c>
      <c r="I35" t="inlineStr">
        <is>
          <t>QUI-0034</t>
        </is>
      </c>
      <c r="J35" t="n">
        <v>0.18</v>
      </c>
      <c r="K35" t="n">
        <v>1</v>
      </c>
    </row>
    <row r="36">
      <c r="A36" t="n">
        <v>35</v>
      </c>
      <c r="B36" t="inlineStr">
        <is>
          <t>Boulon HM 10x40 (boîte) — réf 1</t>
        </is>
      </c>
      <c r="C36" t="inlineStr">
        <is>
          <t>Quincaillerie</t>
        </is>
      </c>
      <c r="D36" t="inlineStr">
        <is>
          <t>Fixations</t>
        </is>
      </c>
      <c r="E36" t="inlineStr">
        <is>
          <t>unité</t>
        </is>
      </c>
      <c r="F36" t="n">
        <v>1700</v>
      </c>
      <c r="G36" t="n">
        <v>0.23</v>
      </c>
      <c r="H36" t="inlineStr">
        <is>
          <t>Sahel Quincaillerie</t>
        </is>
      </c>
      <c r="I36" t="inlineStr">
        <is>
          <t>QUI-0035</t>
        </is>
      </c>
      <c r="J36" t="n">
        <v>0.18</v>
      </c>
      <c r="K36" t="n">
        <v>1</v>
      </c>
    </row>
    <row r="37">
      <c r="A37" t="n">
        <v>36</v>
      </c>
      <c r="B37" t="inlineStr">
        <is>
          <t>Boulon HM 10x40 (boîte) — réf 2</t>
        </is>
      </c>
      <c r="C37" t="inlineStr">
        <is>
          <t>Quincaillerie</t>
        </is>
      </c>
      <c r="D37" t="inlineStr">
        <is>
          <t>Fixations</t>
        </is>
      </c>
      <c r="E37" t="inlineStr">
        <is>
          <t>unité</t>
        </is>
      </c>
      <c r="F37" t="n">
        <v>2250</v>
      </c>
      <c r="G37" t="n">
        <v>0.44</v>
      </c>
      <c r="H37" t="inlineStr">
        <is>
          <t>Sahel Quincaillerie</t>
        </is>
      </c>
      <c r="I37" t="inlineStr">
        <is>
          <t>QUI-0036</t>
        </is>
      </c>
      <c r="J37" t="n">
        <v>0.18</v>
      </c>
      <c r="K37" t="n">
        <v>1</v>
      </c>
    </row>
    <row r="38">
      <c r="A38" t="n">
        <v>37</v>
      </c>
      <c r="B38" t="inlineStr">
        <is>
          <t>Écrou hexagonal 10 (sachet) — réf 1</t>
        </is>
      </c>
      <c r="C38" t="inlineStr">
        <is>
          <t>Quincaillerie</t>
        </is>
      </c>
      <c r="D38" t="inlineStr">
        <is>
          <t>Fixations</t>
        </is>
      </c>
      <c r="E38" t="inlineStr">
        <is>
          <t>unité</t>
        </is>
      </c>
      <c r="F38" t="n">
        <v>1250</v>
      </c>
      <c r="G38" t="n">
        <v>0.55</v>
      </c>
      <c r="H38" t="inlineStr">
        <is>
          <t>Sahel Quincaillerie</t>
        </is>
      </c>
      <c r="I38" t="inlineStr">
        <is>
          <t>QUI-0037</t>
        </is>
      </c>
      <c r="J38" t="n">
        <v>0.18</v>
      </c>
      <c r="K38" t="n">
        <v>1</v>
      </c>
    </row>
    <row r="39">
      <c r="A39" t="n">
        <v>38</v>
      </c>
      <c r="B39" t="inlineStr">
        <is>
          <t>Écrou hexagonal 10 (sachet) — réf 2</t>
        </is>
      </c>
      <c r="C39" t="inlineStr">
        <is>
          <t>Quincaillerie</t>
        </is>
      </c>
      <c r="D39" t="inlineStr">
        <is>
          <t>Fixations</t>
        </is>
      </c>
      <c r="E39" t="inlineStr">
        <is>
          <t>unité</t>
        </is>
      </c>
      <c r="F39" t="n">
        <v>1825</v>
      </c>
      <c r="G39" t="n">
        <v>0.58</v>
      </c>
      <c r="H39" t="inlineStr">
        <is>
          <t>Sahel Quincaillerie</t>
        </is>
      </c>
      <c r="I39" t="inlineStr">
        <is>
          <t>QUI-0038</t>
        </is>
      </c>
      <c r="J39" t="n">
        <v>0.18</v>
      </c>
      <c r="K39" t="n">
        <v>1</v>
      </c>
    </row>
    <row r="40">
      <c r="A40" t="n">
        <v>39</v>
      </c>
      <c r="B40" t="inlineStr">
        <is>
          <t>Fer à béton 8 mm (barre) — réf 1</t>
        </is>
      </c>
      <c r="C40" t="inlineStr">
        <is>
          <t>Quincaillerie</t>
        </is>
      </c>
      <c r="D40" t="inlineStr">
        <is>
          <t>Fixations</t>
        </is>
      </c>
      <c r="E40" t="inlineStr">
        <is>
          <t>unité</t>
        </is>
      </c>
      <c r="F40" t="n">
        <v>1325</v>
      </c>
      <c r="G40" t="n">
        <v>0.23</v>
      </c>
      <c r="H40" t="inlineStr">
        <is>
          <t>Sahel Quincaillerie</t>
        </is>
      </c>
      <c r="I40" t="inlineStr">
        <is>
          <t>QUI-0039</t>
        </is>
      </c>
      <c r="J40" t="n">
        <v>0.18</v>
      </c>
      <c r="K40" t="n">
        <v>1</v>
      </c>
    </row>
    <row r="41">
      <c r="A41" t="n">
        <v>40</v>
      </c>
      <c r="B41" t="inlineStr">
        <is>
          <t>Fer à béton 8 mm (barre) — réf 2</t>
        </is>
      </c>
      <c r="C41" t="inlineStr">
        <is>
          <t>Quincaillerie</t>
        </is>
      </c>
      <c r="D41" t="inlineStr">
        <is>
          <t>Fixations</t>
        </is>
      </c>
      <c r="E41" t="inlineStr">
        <is>
          <t>unité</t>
        </is>
      </c>
      <c r="F41" t="n">
        <v>1950</v>
      </c>
      <c r="G41" t="n">
        <v>0.22</v>
      </c>
      <c r="H41" t="inlineStr">
        <is>
          <t>Sahel Quincaillerie</t>
        </is>
      </c>
      <c r="I41" t="inlineStr">
        <is>
          <t>QUI-0040</t>
        </is>
      </c>
      <c r="J41" t="n">
        <v>0.18</v>
      </c>
      <c r="K41" t="n">
        <v>1</v>
      </c>
    </row>
    <row r="42">
      <c r="A42" t="n">
        <v>41</v>
      </c>
      <c r="B42" t="inlineStr">
        <is>
          <t>Fil de fer recuit (kg) — réf 1</t>
        </is>
      </c>
      <c r="C42" t="inlineStr">
        <is>
          <t>Quincaillerie</t>
        </is>
      </c>
      <c r="D42" t="inlineStr">
        <is>
          <t>Fixations</t>
        </is>
      </c>
      <c r="E42" t="inlineStr">
        <is>
          <t>unité</t>
        </is>
      </c>
      <c r="F42" t="n">
        <v>1375</v>
      </c>
      <c r="G42" t="n">
        <v>0.33</v>
      </c>
      <c r="H42" t="inlineStr">
        <is>
          <t>Sahel Quincaillerie</t>
        </is>
      </c>
      <c r="I42" t="inlineStr">
        <is>
          <t>QUI-0041</t>
        </is>
      </c>
      <c r="J42" t="n">
        <v>0.18</v>
      </c>
      <c r="K42" t="n">
        <v>1</v>
      </c>
    </row>
    <row r="43">
      <c r="A43" t="n">
        <v>42</v>
      </c>
      <c r="B43" t="inlineStr">
        <is>
          <t>Fil de fer recuit (kg) — réf 2</t>
        </is>
      </c>
      <c r="C43" t="inlineStr">
        <is>
          <t>Quincaillerie</t>
        </is>
      </c>
      <c r="D43" t="inlineStr">
        <is>
          <t>Fixations</t>
        </is>
      </c>
      <c r="E43" t="inlineStr">
        <is>
          <t>unité</t>
        </is>
      </c>
      <c r="F43" t="n">
        <v>1675</v>
      </c>
      <c r="G43" t="n">
        <v>0.54</v>
      </c>
      <c r="H43" t="inlineStr">
        <is>
          <t>Sahel Quincaillerie</t>
        </is>
      </c>
      <c r="I43" t="inlineStr">
        <is>
          <t>QUI-0042</t>
        </is>
      </c>
      <c r="J43" t="n">
        <v>0.18</v>
      </c>
      <c r="K43" t="n">
        <v>1</v>
      </c>
    </row>
    <row r="44">
      <c r="A44" t="n">
        <v>43</v>
      </c>
      <c r="B44" t="inlineStr">
        <is>
          <t>Marteau de menuisier — réf 1</t>
        </is>
      </c>
      <c r="C44" t="inlineStr">
        <is>
          <t>Quincaillerie</t>
        </is>
      </c>
      <c r="D44" t="inlineStr">
        <is>
          <t>Outillage</t>
        </is>
      </c>
      <c r="E44" t="inlineStr">
        <is>
          <t>unité</t>
        </is>
      </c>
      <c r="F44" t="n">
        <v>8050</v>
      </c>
      <c r="G44" t="n">
        <v>1.15</v>
      </c>
      <c r="H44" t="inlineStr">
        <is>
          <t>Outil Pro SA</t>
        </is>
      </c>
      <c r="I44" t="inlineStr">
        <is>
          <t>QUI-0043</t>
        </is>
      </c>
      <c r="J44" t="n">
        <v>0.18</v>
      </c>
      <c r="K44" t="n">
        <v>1</v>
      </c>
    </row>
    <row r="45">
      <c r="A45" t="n">
        <v>44</v>
      </c>
      <c r="B45" t="inlineStr">
        <is>
          <t>Marteau de menuisier — réf 2</t>
        </is>
      </c>
      <c r="C45" t="inlineStr">
        <is>
          <t>Quincaillerie</t>
        </is>
      </c>
      <c r="D45" t="inlineStr">
        <is>
          <t>Outillage</t>
        </is>
      </c>
      <c r="E45" t="inlineStr">
        <is>
          <t>unité</t>
        </is>
      </c>
      <c r="F45" t="n">
        <v>7400</v>
      </c>
      <c r="G45" t="n">
        <v>1.5</v>
      </c>
      <c r="H45" t="inlineStr">
        <is>
          <t>Outil Pro SA</t>
        </is>
      </c>
      <c r="I45" t="inlineStr">
        <is>
          <t>QUI-0044</t>
        </is>
      </c>
      <c r="J45" t="n">
        <v>0.18</v>
      </c>
      <c r="K45" t="n">
        <v>1</v>
      </c>
    </row>
    <row r="46">
      <c r="A46" t="n">
        <v>45</v>
      </c>
      <c r="B46" t="inlineStr">
        <is>
          <t>Scie égoïne 500 mm — réf 1</t>
        </is>
      </c>
      <c r="C46" t="inlineStr">
        <is>
          <t>Quincaillerie</t>
        </is>
      </c>
      <c r="D46" t="inlineStr">
        <is>
          <t>Outillage</t>
        </is>
      </c>
      <c r="E46" t="inlineStr">
        <is>
          <t>unité</t>
        </is>
      </c>
      <c r="F46" t="n">
        <v>9400</v>
      </c>
      <c r="G46" t="n">
        <v>0.63</v>
      </c>
      <c r="H46" t="inlineStr">
        <is>
          <t>Outil Pro SA</t>
        </is>
      </c>
      <c r="I46" t="inlineStr">
        <is>
          <t>QUI-0045</t>
        </is>
      </c>
      <c r="J46" t="n">
        <v>0.18</v>
      </c>
      <c r="K46" t="n">
        <v>1</v>
      </c>
    </row>
    <row r="47">
      <c r="A47" t="n">
        <v>46</v>
      </c>
      <c r="B47" t="inlineStr">
        <is>
          <t>Scie égoïne 500 mm — réf 2</t>
        </is>
      </c>
      <c r="C47" t="inlineStr">
        <is>
          <t>Quincaillerie</t>
        </is>
      </c>
      <c r="D47" t="inlineStr">
        <is>
          <t>Outillage</t>
        </is>
      </c>
      <c r="E47" t="inlineStr">
        <is>
          <t>unité</t>
        </is>
      </c>
      <c r="F47" t="n">
        <v>8625</v>
      </c>
      <c r="G47" t="n">
        <v>1.23</v>
      </c>
      <c r="H47" t="inlineStr">
        <is>
          <t>Outil Pro SA</t>
        </is>
      </c>
      <c r="I47" t="inlineStr">
        <is>
          <t>QUI-0046</t>
        </is>
      </c>
      <c r="J47" t="n">
        <v>0.18</v>
      </c>
      <c r="K47" t="n">
        <v>1</v>
      </c>
    </row>
    <row r="48">
      <c r="A48" t="n">
        <v>47</v>
      </c>
      <c r="B48" t="inlineStr">
        <is>
          <t>Clé plate 13 — réf 1</t>
        </is>
      </c>
      <c r="C48" t="inlineStr">
        <is>
          <t>Quincaillerie</t>
        </is>
      </c>
      <c r="D48" t="inlineStr">
        <is>
          <t>Outillage</t>
        </is>
      </c>
      <c r="E48" t="inlineStr">
        <is>
          <t>unité</t>
        </is>
      </c>
      <c r="F48" t="n">
        <v>8300</v>
      </c>
      <c r="G48" t="n">
        <v>1.36</v>
      </c>
      <c r="H48" t="inlineStr">
        <is>
          <t>Outil Pro SA</t>
        </is>
      </c>
      <c r="I48" t="inlineStr">
        <is>
          <t>QUI-0047</t>
        </is>
      </c>
      <c r="J48" t="n">
        <v>0.18</v>
      </c>
      <c r="K48" t="n">
        <v>1</v>
      </c>
    </row>
    <row r="49">
      <c r="A49" t="n">
        <v>48</v>
      </c>
      <c r="B49" t="inlineStr">
        <is>
          <t>Clé plate 13 — réf 2</t>
        </is>
      </c>
      <c r="C49" t="inlineStr">
        <is>
          <t>Quincaillerie</t>
        </is>
      </c>
      <c r="D49" t="inlineStr">
        <is>
          <t>Outillage</t>
        </is>
      </c>
      <c r="E49" t="inlineStr">
        <is>
          <t>unité</t>
        </is>
      </c>
      <c r="F49" t="n">
        <v>8975</v>
      </c>
      <c r="G49" t="n">
        <v>1.6</v>
      </c>
      <c r="H49" t="inlineStr">
        <is>
          <t>Outil Pro SA</t>
        </is>
      </c>
      <c r="I49" t="inlineStr">
        <is>
          <t>QUI-0048</t>
        </is>
      </c>
      <c r="J49" t="n">
        <v>0.18</v>
      </c>
      <c r="K49" t="n">
        <v>1</v>
      </c>
    </row>
    <row r="50">
      <c r="A50" t="n">
        <v>49</v>
      </c>
      <c r="B50" t="inlineStr">
        <is>
          <t>Tournevis cruciforme PH2 — réf 1</t>
        </is>
      </c>
      <c r="C50" t="inlineStr">
        <is>
          <t>Quincaillerie</t>
        </is>
      </c>
      <c r="D50" t="inlineStr">
        <is>
          <t>Outillage</t>
        </is>
      </c>
      <c r="E50" t="inlineStr">
        <is>
          <t>unité</t>
        </is>
      </c>
      <c r="F50" t="n">
        <v>6900</v>
      </c>
      <c r="G50" t="n">
        <v>1.36</v>
      </c>
      <c r="H50" t="inlineStr">
        <is>
          <t>Outil Pro SA</t>
        </is>
      </c>
      <c r="I50" t="inlineStr">
        <is>
          <t>QUI-0049</t>
        </is>
      </c>
      <c r="J50" t="n">
        <v>0.18</v>
      </c>
      <c r="K50" t="n">
        <v>1</v>
      </c>
    </row>
    <row r="51">
      <c r="A51" t="n">
        <v>50</v>
      </c>
      <c r="B51" t="inlineStr">
        <is>
          <t>Tournevis cruciforme PH2 — réf 2</t>
        </is>
      </c>
      <c r="C51" t="inlineStr">
        <is>
          <t>Quincaillerie</t>
        </is>
      </c>
      <c r="D51" t="inlineStr">
        <is>
          <t>Outillage</t>
        </is>
      </c>
      <c r="E51" t="inlineStr">
        <is>
          <t>unité</t>
        </is>
      </c>
      <c r="F51" t="n">
        <v>5400</v>
      </c>
      <c r="G51" t="n">
        <v>1.35</v>
      </c>
      <c r="H51" t="inlineStr">
        <is>
          <t>Outil Pro SA</t>
        </is>
      </c>
      <c r="I51" t="inlineStr">
        <is>
          <t>QUI-0050</t>
        </is>
      </c>
      <c r="J51" t="n">
        <v>0.18</v>
      </c>
      <c r="K51" t="n">
        <v>1</v>
      </c>
    </row>
    <row r="52">
      <c r="A52" t="n">
        <v>51</v>
      </c>
      <c r="B52" t="inlineStr">
        <is>
          <t>Mètre ruban 5 m — réf 1</t>
        </is>
      </c>
      <c r="C52" t="inlineStr">
        <is>
          <t>Quincaillerie</t>
        </is>
      </c>
      <c r="D52" t="inlineStr">
        <is>
          <t>Outillage</t>
        </is>
      </c>
      <c r="E52" t="inlineStr">
        <is>
          <t>unité</t>
        </is>
      </c>
      <c r="F52" t="n">
        <v>6375</v>
      </c>
      <c r="G52" t="n">
        <v>0.6899999999999999</v>
      </c>
      <c r="H52" t="inlineStr">
        <is>
          <t>Outil Pro SA</t>
        </is>
      </c>
      <c r="I52" t="inlineStr">
        <is>
          <t>QUI-0051</t>
        </is>
      </c>
      <c r="J52" t="n">
        <v>0.18</v>
      </c>
      <c r="K52" t="n">
        <v>1</v>
      </c>
    </row>
    <row r="53">
      <c r="A53" t="n">
        <v>52</v>
      </c>
      <c r="B53" t="inlineStr">
        <is>
          <t>Mètre ruban 5 m — réf 2</t>
        </is>
      </c>
      <c r="C53" t="inlineStr">
        <is>
          <t>Quincaillerie</t>
        </is>
      </c>
      <c r="D53" t="inlineStr">
        <is>
          <t>Outillage</t>
        </is>
      </c>
      <c r="E53" t="inlineStr">
        <is>
          <t>unité</t>
        </is>
      </c>
      <c r="F53" t="n">
        <v>5575</v>
      </c>
      <c r="G53" t="n">
        <v>0.68</v>
      </c>
      <c r="H53" t="inlineStr">
        <is>
          <t>Outil Pro SA</t>
        </is>
      </c>
      <c r="I53" t="inlineStr">
        <is>
          <t>QUI-0052</t>
        </is>
      </c>
      <c r="J53" t="n">
        <v>0.18</v>
      </c>
      <c r="K53" t="n">
        <v>1</v>
      </c>
    </row>
    <row r="54">
      <c r="A54" t="n">
        <v>53</v>
      </c>
      <c r="B54" t="inlineStr">
        <is>
          <t>Pince coupante 200 mm — réf 1</t>
        </is>
      </c>
      <c r="C54" t="inlineStr">
        <is>
          <t>Quincaillerie</t>
        </is>
      </c>
      <c r="D54" t="inlineStr">
        <is>
          <t>Outillage</t>
        </is>
      </c>
      <c r="E54" t="inlineStr">
        <is>
          <t>unité</t>
        </is>
      </c>
      <c r="F54" t="n">
        <v>4550</v>
      </c>
      <c r="G54" t="n">
        <v>1.48</v>
      </c>
      <c r="H54" t="inlineStr">
        <is>
          <t>Outil Pro SA</t>
        </is>
      </c>
      <c r="I54" t="inlineStr">
        <is>
          <t>QUI-0053</t>
        </is>
      </c>
      <c r="J54" t="n">
        <v>0.18</v>
      </c>
      <c r="K54" t="n">
        <v>1</v>
      </c>
    </row>
    <row r="55">
      <c r="A55" t="n">
        <v>54</v>
      </c>
      <c r="B55" t="inlineStr">
        <is>
          <t>Pince coupante 200 mm — réf 2</t>
        </is>
      </c>
      <c r="C55" t="inlineStr">
        <is>
          <t>Quincaillerie</t>
        </is>
      </c>
      <c r="D55" t="inlineStr">
        <is>
          <t>Outillage</t>
        </is>
      </c>
      <c r="E55" t="inlineStr">
        <is>
          <t>unité</t>
        </is>
      </c>
      <c r="F55" t="n">
        <v>8875</v>
      </c>
      <c r="G55" t="n">
        <v>1.14</v>
      </c>
      <c r="H55" t="inlineStr">
        <is>
          <t>Outil Pro SA</t>
        </is>
      </c>
      <c r="I55" t="inlineStr">
        <is>
          <t>QUI-0054</t>
        </is>
      </c>
      <c r="J55" t="n">
        <v>0.18</v>
      </c>
      <c r="K55" t="n">
        <v>1</v>
      </c>
    </row>
    <row r="56">
      <c r="A56" t="n">
        <v>55</v>
      </c>
      <c r="B56" t="inlineStr">
        <is>
          <t>Niveau à bulle 600 mm — réf 1</t>
        </is>
      </c>
      <c r="C56" t="inlineStr">
        <is>
          <t>Quincaillerie</t>
        </is>
      </c>
      <c r="D56" t="inlineStr">
        <is>
          <t>Outillage</t>
        </is>
      </c>
      <c r="E56" t="inlineStr">
        <is>
          <t>unité</t>
        </is>
      </c>
      <c r="F56" t="n">
        <v>7825</v>
      </c>
      <c r="G56" t="n">
        <v>0.75</v>
      </c>
      <c r="H56" t="inlineStr">
        <is>
          <t>Outil Pro SA</t>
        </is>
      </c>
      <c r="I56" t="inlineStr">
        <is>
          <t>QUI-0055</t>
        </is>
      </c>
      <c r="J56" t="n">
        <v>0.18</v>
      </c>
      <c r="K56" t="n">
        <v>1</v>
      </c>
    </row>
    <row r="57">
      <c r="A57" t="n">
        <v>56</v>
      </c>
      <c r="B57" t="inlineStr">
        <is>
          <t>Niveau à bulle 600 mm — réf 2</t>
        </is>
      </c>
      <c r="C57" t="inlineStr">
        <is>
          <t>Quincaillerie</t>
        </is>
      </c>
      <c r="D57" t="inlineStr">
        <is>
          <t>Outillage</t>
        </is>
      </c>
      <c r="E57" t="inlineStr">
        <is>
          <t>unité</t>
        </is>
      </c>
      <c r="F57" t="n">
        <v>4300</v>
      </c>
      <c r="G57" t="n">
        <v>1.6</v>
      </c>
      <c r="H57" t="inlineStr">
        <is>
          <t>Outil Pro SA</t>
        </is>
      </c>
      <c r="I57" t="inlineStr">
        <is>
          <t>QUI-0056</t>
        </is>
      </c>
      <c r="J57" t="n">
        <v>0.18</v>
      </c>
      <c r="K57" t="n">
        <v>1</v>
      </c>
    </row>
    <row r="58">
      <c r="A58" t="n">
        <v>57</v>
      </c>
      <c r="B58" t="inlineStr">
        <is>
          <t>Meuleuse 125 mm — réf 1</t>
        </is>
      </c>
      <c r="C58" t="inlineStr">
        <is>
          <t>Quincaillerie</t>
        </is>
      </c>
      <c r="D58" t="inlineStr">
        <is>
          <t>Outillage</t>
        </is>
      </c>
      <c r="E58" t="inlineStr">
        <is>
          <t>unité</t>
        </is>
      </c>
      <c r="F58" t="n">
        <v>6375</v>
      </c>
      <c r="G58" t="n">
        <v>0.68</v>
      </c>
      <c r="H58" t="inlineStr">
        <is>
          <t>Outil Pro SA</t>
        </is>
      </c>
      <c r="I58" t="inlineStr">
        <is>
          <t>QUI-0057</t>
        </is>
      </c>
      <c r="J58" t="n">
        <v>0.18</v>
      </c>
      <c r="K58" t="n">
        <v>1</v>
      </c>
    </row>
    <row r="59">
      <c r="A59" t="n">
        <v>58</v>
      </c>
      <c r="B59" t="inlineStr">
        <is>
          <t>Meuleuse 125 mm — réf 2</t>
        </is>
      </c>
      <c r="C59" t="inlineStr">
        <is>
          <t>Quincaillerie</t>
        </is>
      </c>
      <c r="D59" t="inlineStr">
        <is>
          <t>Outillage</t>
        </is>
      </c>
      <c r="E59" t="inlineStr">
        <is>
          <t>unité</t>
        </is>
      </c>
      <c r="F59" t="n">
        <v>5075</v>
      </c>
      <c r="G59" t="n">
        <v>1.24</v>
      </c>
      <c r="H59" t="inlineStr">
        <is>
          <t>Outil Pro SA</t>
        </is>
      </c>
      <c r="I59" t="inlineStr">
        <is>
          <t>QUI-0058</t>
        </is>
      </c>
      <c r="J59" t="n">
        <v>0.18</v>
      </c>
      <c r="K59" t="n">
        <v>1</v>
      </c>
    </row>
    <row r="60">
      <c r="A60" t="n">
        <v>59</v>
      </c>
      <c r="B60" t="inlineStr">
        <is>
          <t>Perforateur 800 W — réf 1</t>
        </is>
      </c>
      <c r="C60" t="inlineStr">
        <is>
          <t>Quincaillerie</t>
        </is>
      </c>
      <c r="D60" t="inlineStr">
        <is>
          <t>Outillage</t>
        </is>
      </c>
      <c r="E60" t="inlineStr">
        <is>
          <t>unité</t>
        </is>
      </c>
      <c r="F60" t="n">
        <v>6875</v>
      </c>
      <c r="G60" t="n">
        <v>0.98</v>
      </c>
      <c r="H60" t="inlineStr">
        <is>
          <t>Outil Pro SA</t>
        </is>
      </c>
      <c r="I60" t="inlineStr">
        <is>
          <t>QUI-0059</t>
        </is>
      </c>
      <c r="J60" t="n">
        <v>0.18</v>
      </c>
      <c r="K60" t="n">
        <v>1</v>
      </c>
    </row>
    <row r="61">
      <c r="A61" t="n">
        <v>60</v>
      </c>
      <c r="B61" t="inlineStr">
        <is>
          <t>Perforateur 800 W — réf 2</t>
        </is>
      </c>
      <c r="C61" t="inlineStr">
        <is>
          <t>Quincaillerie</t>
        </is>
      </c>
      <c r="D61" t="inlineStr">
        <is>
          <t>Outillage</t>
        </is>
      </c>
      <c r="E61" t="inlineStr">
        <is>
          <t>unité</t>
        </is>
      </c>
      <c r="F61" t="n">
        <v>4900</v>
      </c>
      <c r="G61" t="n">
        <v>1.4</v>
      </c>
      <c r="H61" t="inlineStr">
        <is>
          <t>Outil Pro SA</t>
        </is>
      </c>
      <c r="I61" t="inlineStr">
        <is>
          <t>QUI-0060</t>
        </is>
      </c>
      <c r="J61" t="n">
        <v>0.18</v>
      </c>
      <c r="K61" t="n">
        <v>1</v>
      </c>
    </row>
    <row r="62">
      <c r="A62" t="n">
        <v>61</v>
      </c>
      <c r="B62" t="inlineStr">
        <is>
          <t>Tube PVC évacuation 100 mm (ml) — réf 1</t>
        </is>
      </c>
      <c r="C62" t="inlineStr">
        <is>
          <t>Plomberie</t>
        </is>
      </c>
      <c r="D62" t="inlineStr">
        <is>
          <t>Tubes &amp; raccords</t>
        </is>
      </c>
      <c r="E62" t="inlineStr">
        <is>
          <t>unité</t>
        </is>
      </c>
      <c r="F62" t="n">
        <v>2900</v>
      </c>
      <c r="G62" t="n">
        <v>1.3</v>
      </c>
      <c r="H62" t="inlineStr">
        <is>
          <t>Hydro Ouest</t>
        </is>
      </c>
      <c r="I62" t="inlineStr">
        <is>
          <t>PLO-0061</t>
        </is>
      </c>
      <c r="J62" t="n">
        <v>0.18</v>
      </c>
      <c r="K62" t="n">
        <v>1</v>
      </c>
    </row>
    <row r="63">
      <c r="A63" t="n">
        <v>62</v>
      </c>
      <c r="B63" t="inlineStr">
        <is>
          <t>Tube PVC évacuation 100 mm (ml) — réf 2</t>
        </is>
      </c>
      <c r="C63" t="inlineStr">
        <is>
          <t>Plomberie</t>
        </is>
      </c>
      <c r="D63" t="inlineStr">
        <is>
          <t>Tubes &amp; raccords</t>
        </is>
      </c>
      <c r="E63" t="inlineStr">
        <is>
          <t>unité</t>
        </is>
      </c>
      <c r="F63" t="n">
        <v>3275</v>
      </c>
      <c r="G63" t="n">
        <v>0.97</v>
      </c>
      <c r="H63" t="inlineStr">
        <is>
          <t>Hydro Ouest</t>
        </is>
      </c>
      <c r="I63" t="inlineStr">
        <is>
          <t>PLO-0062</t>
        </is>
      </c>
      <c r="J63" t="n">
        <v>0.18</v>
      </c>
      <c r="K63" t="n">
        <v>1</v>
      </c>
    </row>
    <row r="64">
      <c r="A64" t="n">
        <v>63</v>
      </c>
      <c r="B64" t="inlineStr">
        <is>
          <t>Tube PER 16x2 (rouleau) — réf 1</t>
        </is>
      </c>
      <c r="C64" t="inlineStr">
        <is>
          <t>Plomberie</t>
        </is>
      </c>
      <c r="D64" t="inlineStr">
        <is>
          <t>Tubes &amp; raccords</t>
        </is>
      </c>
      <c r="E64" t="inlineStr">
        <is>
          <t>unité</t>
        </is>
      </c>
      <c r="F64" t="n">
        <v>3050</v>
      </c>
      <c r="G64" t="n">
        <v>0.78</v>
      </c>
      <c r="H64" t="inlineStr">
        <is>
          <t>Hydro Ouest</t>
        </is>
      </c>
      <c r="I64" t="inlineStr">
        <is>
          <t>PLO-0063</t>
        </is>
      </c>
      <c r="J64" t="n">
        <v>0.18</v>
      </c>
      <c r="K64" t="n">
        <v>1</v>
      </c>
    </row>
    <row r="65">
      <c r="A65" t="n">
        <v>64</v>
      </c>
      <c r="B65" t="inlineStr">
        <is>
          <t>Tube PER 16x2 (rouleau) — réf 2</t>
        </is>
      </c>
      <c r="C65" t="inlineStr">
        <is>
          <t>Plomberie</t>
        </is>
      </c>
      <c r="D65" t="inlineStr">
        <is>
          <t>Tubes &amp; raccords</t>
        </is>
      </c>
      <c r="E65" t="inlineStr">
        <is>
          <t>unité</t>
        </is>
      </c>
      <c r="F65" t="n">
        <v>2875</v>
      </c>
      <c r="G65" t="n">
        <v>0.66</v>
      </c>
      <c r="H65" t="inlineStr">
        <is>
          <t>Hydro Ouest</t>
        </is>
      </c>
      <c r="I65" t="inlineStr">
        <is>
          <t>PLO-0064</t>
        </is>
      </c>
      <c r="J65" t="n">
        <v>0.18</v>
      </c>
      <c r="K65" t="n">
        <v>1</v>
      </c>
    </row>
    <row r="66">
      <c r="A66" t="n">
        <v>65</v>
      </c>
      <c r="B66" t="inlineStr">
        <is>
          <t>Raccord laiton 20/27 — réf 1</t>
        </is>
      </c>
      <c r="C66" t="inlineStr">
        <is>
          <t>Plomberie</t>
        </is>
      </c>
      <c r="D66" t="inlineStr">
        <is>
          <t>Tubes &amp; raccords</t>
        </is>
      </c>
      <c r="E66" t="inlineStr">
        <is>
          <t>unité</t>
        </is>
      </c>
      <c r="F66" t="n">
        <v>4025</v>
      </c>
      <c r="G66" t="n">
        <v>0.91</v>
      </c>
      <c r="H66" t="inlineStr">
        <is>
          <t>Hydro Ouest</t>
        </is>
      </c>
      <c r="I66" t="inlineStr">
        <is>
          <t>PLO-0065</t>
        </is>
      </c>
      <c r="J66" t="n">
        <v>0.18</v>
      </c>
      <c r="K66" t="n">
        <v>1</v>
      </c>
    </row>
    <row r="67">
      <c r="A67" t="n">
        <v>66</v>
      </c>
      <c r="B67" t="inlineStr">
        <is>
          <t>Raccord laiton 20/27 — réf 2</t>
        </is>
      </c>
      <c r="C67" t="inlineStr">
        <is>
          <t>Plomberie</t>
        </is>
      </c>
      <c r="D67" t="inlineStr">
        <is>
          <t>Tubes &amp; raccords</t>
        </is>
      </c>
      <c r="E67" t="inlineStr">
        <is>
          <t>unité</t>
        </is>
      </c>
      <c r="F67" t="n">
        <v>4000</v>
      </c>
      <c r="G67" t="n">
        <v>1.26</v>
      </c>
      <c r="H67" t="inlineStr">
        <is>
          <t>Hydro Ouest</t>
        </is>
      </c>
      <c r="I67" t="inlineStr">
        <is>
          <t>PLO-0066</t>
        </is>
      </c>
      <c r="J67" t="n">
        <v>0.18</v>
      </c>
      <c r="K67" t="n">
        <v>1</v>
      </c>
    </row>
    <row r="68">
      <c r="A68" t="n">
        <v>67</v>
      </c>
      <c r="B68" t="inlineStr">
        <is>
          <t>Coude PVC 90° 100 — réf 1</t>
        </is>
      </c>
      <c r="C68" t="inlineStr">
        <is>
          <t>Plomberie</t>
        </is>
      </c>
      <c r="D68" t="inlineStr">
        <is>
          <t>Tubes &amp; raccords</t>
        </is>
      </c>
      <c r="E68" t="inlineStr">
        <is>
          <t>unité</t>
        </is>
      </c>
      <c r="F68" t="n">
        <v>3425</v>
      </c>
      <c r="G68" t="n">
        <v>0.5</v>
      </c>
      <c r="H68" t="inlineStr">
        <is>
          <t>Hydro Ouest</t>
        </is>
      </c>
      <c r="I68" t="inlineStr">
        <is>
          <t>PLO-0067</t>
        </is>
      </c>
      <c r="J68" t="n">
        <v>0.18</v>
      </c>
      <c r="K68" t="n">
        <v>1</v>
      </c>
    </row>
    <row r="69">
      <c r="A69" t="n">
        <v>68</v>
      </c>
      <c r="B69" t="inlineStr">
        <is>
          <t>Coude PVC 90° 100 — réf 2</t>
        </is>
      </c>
      <c r="C69" t="inlineStr">
        <is>
          <t>Plomberie</t>
        </is>
      </c>
      <c r="D69" t="inlineStr">
        <is>
          <t>Tubes &amp; raccords</t>
        </is>
      </c>
      <c r="E69" t="inlineStr">
        <is>
          <t>unité</t>
        </is>
      </c>
      <c r="F69" t="n">
        <v>2350</v>
      </c>
      <c r="G69" t="n">
        <v>1.1</v>
      </c>
      <c r="H69" t="inlineStr">
        <is>
          <t>Hydro Ouest</t>
        </is>
      </c>
      <c r="I69" t="inlineStr">
        <is>
          <t>PLO-0068</t>
        </is>
      </c>
      <c r="J69" t="n">
        <v>0.18</v>
      </c>
      <c r="K69" t="n">
        <v>1</v>
      </c>
    </row>
    <row r="70">
      <c r="A70" t="n">
        <v>69</v>
      </c>
      <c r="B70" t="inlineStr">
        <is>
          <t>Té fonte 100 — réf 1</t>
        </is>
      </c>
      <c r="C70" t="inlineStr">
        <is>
          <t>Plomberie</t>
        </is>
      </c>
      <c r="D70" t="inlineStr">
        <is>
          <t>Tubes &amp; raccords</t>
        </is>
      </c>
      <c r="E70" t="inlineStr">
        <is>
          <t>unité</t>
        </is>
      </c>
      <c r="F70" t="n">
        <v>2725</v>
      </c>
      <c r="G70" t="n">
        <v>0.9399999999999999</v>
      </c>
      <c r="H70" t="inlineStr">
        <is>
          <t>Hydro Ouest</t>
        </is>
      </c>
      <c r="I70" t="inlineStr">
        <is>
          <t>PLO-0069</t>
        </is>
      </c>
      <c r="J70" t="n">
        <v>0.18</v>
      </c>
      <c r="K70" t="n">
        <v>1</v>
      </c>
    </row>
    <row r="71">
      <c r="A71" t="n">
        <v>70</v>
      </c>
      <c r="B71" t="inlineStr">
        <is>
          <t>Té fonte 100 — réf 2</t>
        </is>
      </c>
      <c r="C71" t="inlineStr">
        <is>
          <t>Plomberie</t>
        </is>
      </c>
      <c r="D71" t="inlineStr">
        <is>
          <t>Tubes &amp; raccords</t>
        </is>
      </c>
      <c r="E71" t="inlineStr">
        <is>
          <t>unité</t>
        </is>
      </c>
      <c r="F71" t="n">
        <v>3750</v>
      </c>
      <c r="G71" t="n">
        <v>0.96</v>
      </c>
      <c r="H71" t="inlineStr">
        <is>
          <t>Hydro Ouest</t>
        </is>
      </c>
      <c r="I71" t="inlineStr">
        <is>
          <t>PLO-0070</t>
        </is>
      </c>
      <c r="J71" t="n">
        <v>0.18</v>
      </c>
      <c r="K71" t="n">
        <v>1</v>
      </c>
    </row>
    <row r="72">
      <c r="A72" t="n">
        <v>71</v>
      </c>
      <c r="B72" t="inlineStr">
        <is>
          <t>Mastic d'étanchéité — réf 1</t>
        </is>
      </c>
      <c r="C72" t="inlineStr">
        <is>
          <t>Plomberie</t>
        </is>
      </c>
      <c r="D72" t="inlineStr">
        <is>
          <t>Tubes &amp; raccords</t>
        </is>
      </c>
      <c r="E72" t="inlineStr">
        <is>
          <t>unité</t>
        </is>
      </c>
      <c r="F72" t="n">
        <v>2900</v>
      </c>
      <c r="G72" t="n">
        <v>0.6899999999999999</v>
      </c>
      <c r="H72" t="inlineStr">
        <is>
          <t>Hydro Ouest</t>
        </is>
      </c>
      <c r="I72" t="inlineStr">
        <is>
          <t>PLO-0071</t>
        </is>
      </c>
      <c r="J72" t="n">
        <v>0.18</v>
      </c>
      <c r="K72" t="n">
        <v>1</v>
      </c>
    </row>
    <row r="73">
      <c r="A73" t="n">
        <v>72</v>
      </c>
      <c r="B73" t="inlineStr">
        <is>
          <t>Mastic d'étanchéité — réf 2</t>
        </is>
      </c>
      <c r="C73" t="inlineStr">
        <is>
          <t>Plomberie</t>
        </is>
      </c>
      <c r="D73" t="inlineStr">
        <is>
          <t>Tubes &amp; raccords</t>
        </is>
      </c>
      <c r="E73" t="inlineStr">
        <is>
          <t>unité</t>
        </is>
      </c>
      <c r="F73" t="n">
        <v>3825</v>
      </c>
      <c r="G73" t="n">
        <v>1.06</v>
      </c>
      <c r="H73" t="inlineStr">
        <is>
          <t>Hydro Ouest</t>
        </is>
      </c>
      <c r="I73" t="inlineStr">
        <is>
          <t>PLO-0072</t>
        </is>
      </c>
      <c r="J73" t="n">
        <v>0.18</v>
      </c>
      <c r="K73" t="n">
        <v>1</v>
      </c>
    </row>
    <row r="74">
      <c r="A74" t="n">
        <v>73</v>
      </c>
      <c r="B74" t="inlineStr">
        <is>
          <t>Robinet mitigeur évier — réf 1</t>
        </is>
      </c>
      <c r="C74" t="inlineStr">
        <is>
          <t>Plomberie</t>
        </is>
      </c>
      <c r="D74" t="inlineStr">
        <is>
          <t>Appareils &amp; robinetterie</t>
        </is>
      </c>
      <c r="E74" t="inlineStr">
        <is>
          <t>unité</t>
        </is>
      </c>
      <c r="F74" t="n">
        <v>28125</v>
      </c>
      <c r="G74" t="n">
        <v>6.34</v>
      </c>
      <c r="H74" t="inlineStr">
        <is>
          <t>Hydro Ouest</t>
        </is>
      </c>
      <c r="I74" t="inlineStr">
        <is>
          <t>PLO-0073</t>
        </is>
      </c>
      <c r="J74" t="n">
        <v>0.18</v>
      </c>
      <c r="K74" t="n">
        <v>1</v>
      </c>
    </row>
    <row r="75">
      <c r="A75" t="n">
        <v>74</v>
      </c>
      <c r="B75" t="inlineStr">
        <is>
          <t>Robinet mitigeur évier — réf 2</t>
        </is>
      </c>
      <c r="C75" t="inlineStr">
        <is>
          <t>Plomberie</t>
        </is>
      </c>
      <c r="D75" t="inlineStr">
        <is>
          <t>Appareils &amp; robinetterie</t>
        </is>
      </c>
      <c r="E75" t="inlineStr">
        <is>
          <t>unité</t>
        </is>
      </c>
      <c r="F75" t="n">
        <v>30300</v>
      </c>
      <c r="G75" t="n">
        <v>8.050000000000001</v>
      </c>
      <c r="H75" t="inlineStr">
        <is>
          <t>Hydro Ouest</t>
        </is>
      </c>
      <c r="I75" t="inlineStr">
        <is>
          <t>PLO-0074</t>
        </is>
      </c>
      <c r="J75" t="n">
        <v>0.18</v>
      </c>
      <c r="K75" t="n">
        <v>1</v>
      </c>
    </row>
    <row r="76">
      <c r="A76" t="n">
        <v>75</v>
      </c>
      <c r="B76" t="inlineStr">
        <is>
          <t>Chasse d'eau 6 L — réf 1</t>
        </is>
      </c>
      <c r="C76" t="inlineStr">
        <is>
          <t>Plomberie</t>
        </is>
      </c>
      <c r="D76" t="inlineStr">
        <is>
          <t>Appareils &amp; robinetterie</t>
        </is>
      </c>
      <c r="E76" t="inlineStr">
        <is>
          <t>unité</t>
        </is>
      </c>
      <c r="F76" t="n">
        <v>22450</v>
      </c>
      <c r="G76" t="n">
        <v>9.800000000000001</v>
      </c>
      <c r="H76" t="inlineStr">
        <is>
          <t>Hydro Ouest</t>
        </is>
      </c>
      <c r="I76" t="inlineStr">
        <is>
          <t>PLO-0075</t>
        </is>
      </c>
      <c r="J76" t="n">
        <v>0.18</v>
      </c>
      <c r="K76" t="n">
        <v>1</v>
      </c>
    </row>
    <row r="77">
      <c r="A77" t="n">
        <v>76</v>
      </c>
      <c r="B77" t="inlineStr">
        <is>
          <t>Chasse d'eau 6 L — réf 2</t>
        </is>
      </c>
      <c r="C77" t="inlineStr">
        <is>
          <t>Plomberie</t>
        </is>
      </c>
      <c r="D77" t="inlineStr">
        <is>
          <t>Appareils &amp; robinetterie</t>
        </is>
      </c>
      <c r="E77" t="inlineStr">
        <is>
          <t>unité</t>
        </is>
      </c>
      <c r="F77" t="n">
        <v>17150</v>
      </c>
      <c r="G77" t="n">
        <v>11.77</v>
      </c>
      <c r="H77" t="inlineStr">
        <is>
          <t>Hydro Ouest</t>
        </is>
      </c>
      <c r="I77" t="inlineStr">
        <is>
          <t>PLO-0076</t>
        </is>
      </c>
      <c r="J77" t="n">
        <v>0.18</v>
      </c>
      <c r="K77" t="n">
        <v>1</v>
      </c>
    </row>
    <row r="78">
      <c r="A78" t="n">
        <v>77</v>
      </c>
      <c r="B78" t="inlineStr">
        <is>
          <t>Douche de toilettes — réf 1</t>
        </is>
      </c>
      <c r="C78" t="inlineStr">
        <is>
          <t>Plomberie</t>
        </is>
      </c>
      <c r="D78" t="inlineStr">
        <is>
          <t>Appareils &amp; robinetterie</t>
        </is>
      </c>
      <c r="E78" t="inlineStr">
        <is>
          <t>unité</t>
        </is>
      </c>
      <c r="F78" t="n">
        <v>26275</v>
      </c>
      <c r="G78" t="n">
        <v>7.15</v>
      </c>
      <c r="H78" t="inlineStr">
        <is>
          <t>Hydro Ouest</t>
        </is>
      </c>
      <c r="I78" t="inlineStr">
        <is>
          <t>PLO-0077</t>
        </is>
      </c>
      <c r="J78" t="n">
        <v>0.18</v>
      </c>
      <c r="K78" t="n">
        <v>1</v>
      </c>
    </row>
    <row r="79">
      <c r="A79" t="n">
        <v>78</v>
      </c>
      <c r="B79" t="inlineStr">
        <is>
          <t>Douche de toilettes — réf 2</t>
        </is>
      </c>
      <c r="C79" t="inlineStr">
        <is>
          <t>Plomberie</t>
        </is>
      </c>
      <c r="D79" t="inlineStr">
        <is>
          <t>Appareils &amp; robinetterie</t>
        </is>
      </c>
      <c r="E79" t="inlineStr">
        <is>
          <t>unité</t>
        </is>
      </c>
      <c r="F79" t="n">
        <v>26800</v>
      </c>
      <c r="G79" t="n">
        <v>5.41</v>
      </c>
      <c r="H79" t="inlineStr">
        <is>
          <t>Hydro Ouest</t>
        </is>
      </c>
      <c r="I79" t="inlineStr">
        <is>
          <t>PLO-0078</t>
        </is>
      </c>
      <c r="J79" t="n">
        <v>0.18</v>
      </c>
      <c r="K79" t="n">
        <v>1</v>
      </c>
    </row>
    <row r="80">
      <c r="A80" t="n">
        <v>79</v>
      </c>
      <c r="B80" t="inlineStr">
        <is>
          <t>Ballon d'eau chaude 50 L — réf 1</t>
        </is>
      </c>
      <c r="C80" t="inlineStr">
        <is>
          <t>Plomberie</t>
        </is>
      </c>
      <c r="D80" t="inlineStr">
        <is>
          <t>Appareils &amp; robinetterie</t>
        </is>
      </c>
      <c r="E80" t="inlineStr">
        <is>
          <t>unité</t>
        </is>
      </c>
      <c r="F80" t="n">
        <v>28800</v>
      </c>
      <c r="G80" t="n">
        <v>6.48</v>
      </c>
      <c r="H80" t="inlineStr">
        <is>
          <t>Hydro Ouest</t>
        </is>
      </c>
      <c r="I80" t="inlineStr">
        <is>
          <t>PLO-0079</t>
        </is>
      </c>
      <c r="J80" t="n">
        <v>0.18</v>
      </c>
      <c r="K80" t="n">
        <v>1</v>
      </c>
    </row>
    <row r="81">
      <c r="A81" t="n">
        <v>80</v>
      </c>
      <c r="B81" t="inlineStr">
        <is>
          <t>Ballon d'eau chaude 50 L — réf 2</t>
        </is>
      </c>
      <c r="C81" t="inlineStr">
        <is>
          <t>Plomberie</t>
        </is>
      </c>
      <c r="D81" t="inlineStr">
        <is>
          <t>Appareils &amp; robinetterie</t>
        </is>
      </c>
      <c r="E81" t="inlineStr">
        <is>
          <t>unité</t>
        </is>
      </c>
      <c r="F81" t="n">
        <v>31675</v>
      </c>
      <c r="G81" t="n">
        <v>9.869999999999999</v>
      </c>
      <c r="H81" t="inlineStr">
        <is>
          <t>Hydro Ouest</t>
        </is>
      </c>
      <c r="I81" t="inlineStr">
        <is>
          <t>PLO-0080</t>
        </is>
      </c>
      <c r="J81" t="n">
        <v>0.18</v>
      </c>
      <c r="K81" t="n">
        <v>1</v>
      </c>
    </row>
    <row r="82">
      <c r="A82" t="n">
        <v>81</v>
      </c>
      <c r="B82" t="inlineStr">
        <is>
          <t>Lavabo céramique — réf 1</t>
        </is>
      </c>
      <c r="C82" t="inlineStr">
        <is>
          <t>Plomberie</t>
        </is>
      </c>
      <c r="D82" t="inlineStr">
        <is>
          <t>Appareils &amp; robinetterie</t>
        </is>
      </c>
      <c r="E82" t="inlineStr">
        <is>
          <t>unité</t>
        </is>
      </c>
      <c r="F82" t="n">
        <v>30825</v>
      </c>
      <c r="G82" t="n">
        <v>6.49</v>
      </c>
      <c r="H82" t="inlineStr">
        <is>
          <t>Hydro Ouest</t>
        </is>
      </c>
      <c r="I82" t="inlineStr">
        <is>
          <t>PLO-0081</t>
        </is>
      </c>
      <c r="J82" t="n">
        <v>0.18</v>
      </c>
      <c r="K82" t="n">
        <v>1</v>
      </c>
    </row>
    <row r="83">
      <c r="A83" t="n">
        <v>82</v>
      </c>
      <c r="B83" t="inlineStr">
        <is>
          <t>Lavabo céramique — réf 2</t>
        </is>
      </c>
      <c r="C83" t="inlineStr">
        <is>
          <t>Plomberie</t>
        </is>
      </c>
      <c r="D83" t="inlineStr">
        <is>
          <t>Appareils &amp; robinetterie</t>
        </is>
      </c>
      <c r="E83" t="inlineStr">
        <is>
          <t>unité</t>
        </is>
      </c>
      <c r="F83" t="n">
        <v>34825</v>
      </c>
      <c r="G83" t="n">
        <v>6.6</v>
      </c>
      <c r="H83" t="inlineStr">
        <is>
          <t>Hydro Ouest</t>
        </is>
      </c>
      <c r="I83" t="inlineStr">
        <is>
          <t>PLO-0082</t>
        </is>
      </c>
      <c r="J83" t="n">
        <v>0.18</v>
      </c>
      <c r="K83" t="n">
        <v>1</v>
      </c>
    </row>
    <row r="84">
      <c r="A84" t="n">
        <v>83</v>
      </c>
      <c r="B84" t="inlineStr">
        <is>
          <t>WC complet avec abattant — réf 1</t>
        </is>
      </c>
      <c r="C84" t="inlineStr">
        <is>
          <t>Plomberie</t>
        </is>
      </c>
      <c r="D84" t="inlineStr">
        <is>
          <t>Appareils &amp; robinetterie</t>
        </is>
      </c>
      <c r="E84" t="inlineStr">
        <is>
          <t>unité</t>
        </is>
      </c>
      <c r="F84" t="n">
        <v>22600</v>
      </c>
      <c r="G84" t="n">
        <v>7.28</v>
      </c>
      <c r="H84" t="inlineStr">
        <is>
          <t>Hydro Ouest</t>
        </is>
      </c>
      <c r="I84" t="inlineStr">
        <is>
          <t>PLO-0083</t>
        </is>
      </c>
      <c r="J84" t="n">
        <v>0.18</v>
      </c>
      <c r="K84" t="n">
        <v>1</v>
      </c>
    </row>
    <row r="85">
      <c r="A85" t="n">
        <v>84</v>
      </c>
      <c r="B85" t="inlineStr">
        <is>
          <t>WC complet avec abattant — réf 2</t>
        </is>
      </c>
      <c r="C85" t="inlineStr">
        <is>
          <t>Plomberie</t>
        </is>
      </c>
      <c r="D85" t="inlineStr">
        <is>
          <t>Appareils &amp; robinetterie</t>
        </is>
      </c>
      <c r="E85" t="inlineStr">
        <is>
          <t>unité</t>
        </is>
      </c>
      <c r="F85" t="n">
        <v>27125</v>
      </c>
      <c r="G85" t="n">
        <v>5.83</v>
      </c>
      <c r="H85" t="inlineStr">
        <is>
          <t>Hydro Ouest</t>
        </is>
      </c>
      <c r="I85" t="inlineStr">
        <is>
          <t>PLO-0084</t>
        </is>
      </c>
      <c r="J85" t="n">
        <v>0.18</v>
      </c>
      <c r="K85" t="n">
        <v>1</v>
      </c>
    </row>
    <row r="86">
      <c r="A86" t="n">
        <v>85</v>
      </c>
      <c r="B86" t="inlineStr">
        <is>
          <t>Câble 2x1,5 (rouleau 100 m) — réf 1</t>
        </is>
      </c>
      <c r="C86" t="inlineStr">
        <is>
          <t>Electricité</t>
        </is>
      </c>
      <c r="D86" t="inlineStr">
        <is>
          <t>Câblage &amp; protection</t>
        </is>
      </c>
      <c r="E86" t="inlineStr">
        <is>
          <t>unité</t>
        </is>
      </c>
      <c r="F86" t="n">
        <v>10850</v>
      </c>
      <c r="G86" t="n">
        <v>3.18</v>
      </c>
      <c r="H86" t="inlineStr">
        <is>
          <t>Élec-Faso</t>
        </is>
      </c>
      <c r="I86" t="inlineStr">
        <is>
          <t>ELE-0085</t>
        </is>
      </c>
      <c r="J86" t="n">
        <v>0.18</v>
      </c>
      <c r="K86" t="n">
        <v>1</v>
      </c>
    </row>
    <row r="87">
      <c r="A87" t="n">
        <v>86</v>
      </c>
      <c r="B87" t="inlineStr">
        <is>
          <t>Câble 2x1,5 (rouleau 100 m) — réf 2</t>
        </is>
      </c>
      <c r="C87" t="inlineStr">
        <is>
          <t>Electricité</t>
        </is>
      </c>
      <c r="D87" t="inlineStr">
        <is>
          <t>Câblage &amp; protection</t>
        </is>
      </c>
      <c r="E87" t="inlineStr">
        <is>
          <t>unité</t>
        </is>
      </c>
      <c r="F87" t="n">
        <v>8300</v>
      </c>
      <c r="G87" t="n">
        <v>3.11</v>
      </c>
      <c r="H87" t="inlineStr">
        <is>
          <t>Élec-Faso</t>
        </is>
      </c>
      <c r="I87" t="inlineStr">
        <is>
          <t>ELE-0086</t>
        </is>
      </c>
      <c r="J87" t="n">
        <v>0.18</v>
      </c>
      <c r="K87" t="n">
        <v>1</v>
      </c>
    </row>
    <row r="88">
      <c r="A88" t="n">
        <v>87</v>
      </c>
      <c r="B88" t="inlineStr">
        <is>
          <t>Câble 3x2,5 (rouleau 100 m) — réf 1</t>
        </is>
      </c>
      <c r="C88" t="inlineStr">
        <is>
          <t>Electricité</t>
        </is>
      </c>
      <c r="D88" t="inlineStr">
        <is>
          <t>Câblage &amp; protection</t>
        </is>
      </c>
      <c r="E88" t="inlineStr">
        <is>
          <t>unité</t>
        </is>
      </c>
      <c r="F88" t="n">
        <v>9250</v>
      </c>
      <c r="G88" t="n">
        <v>2.79</v>
      </c>
      <c r="H88" t="inlineStr">
        <is>
          <t>Élec-Faso</t>
        </is>
      </c>
      <c r="I88" t="inlineStr">
        <is>
          <t>ELE-0087</t>
        </is>
      </c>
      <c r="J88" t="n">
        <v>0.18</v>
      </c>
      <c r="K88" t="n">
        <v>1</v>
      </c>
    </row>
    <row r="89">
      <c r="A89" t="n">
        <v>88</v>
      </c>
      <c r="B89" t="inlineStr">
        <is>
          <t>Câble 3x2,5 (rouleau 100 m) — réf 2</t>
        </is>
      </c>
      <c r="C89" t="inlineStr">
        <is>
          <t>Electricité</t>
        </is>
      </c>
      <c r="D89" t="inlineStr">
        <is>
          <t>Câblage &amp; protection</t>
        </is>
      </c>
      <c r="E89" t="inlineStr">
        <is>
          <t>unité</t>
        </is>
      </c>
      <c r="F89" t="n">
        <v>14375</v>
      </c>
      <c r="G89" t="n">
        <v>1.34</v>
      </c>
      <c r="H89" t="inlineStr">
        <is>
          <t>Élec-Faso</t>
        </is>
      </c>
      <c r="I89" t="inlineStr">
        <is>
          <t>ELE-0088</t>
        </is>
      </c>
      <c r="J89" t="n">
        <v>0.18</v>
      </c>
      <c r="K89" t="n">
        <v>1</v>
      </c>
    </row>
    <row r="90">
      <c r="A90" t="n">
        <v>89</v>
      </c>
      <c r="B90" t="inlineStr">
        <is>
          <t>Disjoncteur 16 A — réf 1</t>
        </is>
      </c>
      <c r="C90" t="inlineStr">
        <is>
          <t>Electricité</t>
        </is>
      </c>
      <c r="D90" t="inlineStr">
        <is>
          <t>Câblage &amp; protection</t>
        </is>
      </c>
      <c r="E90" t="inlineStr">
        <is>
          <t>unité</t>
        </is>
      </c>
      <c r="F90" t="n">
        <v>8375</v>
      </c>
      <c r="G90" t="n">
        <v>1.4</v>
      </c>
      <c r="H90" t="inlineStr">
        <is>
          <t>Élec-Faso</t>
        </is>
      </c>
      <c r="I90" t="inlineStr">
        <is>
          <t>ELE-0089</t>
        </is>
      </c>
      <c r="J90" t="n">
        <v>0.18</v>
      </c>
      <c r="K90" t="n">
        <v>1</v>
      </c>
    </row>
    <row r="91">
      <c r="A91" t="n">
        <v>90</v>
      </c>
      <c r="B91" t="inlineStr">
        <is>
          <t>Disjoncteur 16 A — réf 2</t>
        </is>
      </c>
      <c r="C91" t="inlineStr">
        <is>
          <t>Electricité</t>
        </is>
      </c>
      <c r="D91" t="inlineStr">
        <is>
          <t>Câblage &amp; protection</t>
        </is>
      </c>
      <c r="E91" t="inlineStr">
        <is>
          <t>unité</t>
        </is>
      </c>
      <c r="F91" t="n">
        <v>9600</v>
      </c>
      <c r="G91" t="n">
        <v>3.14</v>
      </c>
      <c r="H91" t="inlineStr">
        <is>
          <t>Élec-Faso</t>
        </is>
      </c>
      <c r="I91" t="inlineStr">
        <is>
          <t>ELE-0090</t>
        </is>
      </c>
      <c r="J91" t="n">
        <v>0.18</v>
      </c>
      <c r="K91" t="n">
        <v>1</v>
      </c>
    </row>
    <row r="92">
      <c r="A92" t="n">
        <v>91</v>
      </c>
      <c r="B92" t="inlineStr">
        <is>
          <t>Disjoncteur différentiel 30 mA — réf 1</t>
        </is>
      </c>
      <c r="C92" t="inlineStr">
        <is>
          <t>Electricité</t>
        </is>
      </c>
      <c r="D92" t="inlineStr">
        <is>
          <t>Câblage &amp; protection</t>
        </is>
      </c>
      <c r="E92" t="inlineStr">
        <is>
          <t>unité</t>
        </is>
      </c>
      <c r="F92" t="n">
        <v>9600</v>
      </c>
      <c r="G92" t="n">
        <v>1.28</v>
      </c>
      <c r="H92" t="inlineStr">
        <is>
          <t>Élec-Faso</t>
        </is>
      </c>
      <c r="I92" t="inlineStr">
        <is>
          <t>ELE-0091</t>
        </is>
      </c>
      <c r="J92" t="n">
        <v>0.18</v>
      </c>
      <c r="K92" t="n">
        <v>1</v>
      </c>
    </row>
    <row r="93">
      <c r="A93" t="n">
        <v>92</v>
      </c>
      <c r="B93" t="inlineStr">
        <is>
          <t>Disjoncteur différentiel 30 mA — réf 2</t>
        </is>
      </c>
      <c r="C93" t="inlineStr">
        <is>
          <t>Electricité</t>
        </is>
      </c>
      <c r="D93" t="inlineStr">
        <is>
          <t>Câblage &amp; protection</t>
        </is>
      </c>
      <c r="E93" t="inlineStr">
        <is>
          <t>unité</t>
        </is>
      </c>
      <c r="F93" t="n">
        <v>10900</v>
      </c>
      <c r="G93" t="n">
        <v>1.5</v>
      </c>
      <c r="H93" t="inlineStr">
        <is>
          <t>Élec-Faso</t>
        </is>
      </c>
      <c r="I93" t="inlineStr">
        <is>
          <t>ELE-0092</t>
        </is>
      </c>
      <c r="J93" t="n">
        <v>0.18</v>
      </c>
      <c r="K93" t="n">
        <v>1</v>
      </c>
    </row>
    <row r="94">
      <c r="A94" t="n">
        <v>93</v>
      </c>
      <c r="B94" t="inlineStr">
        <is>
          <t>Tableau 18 modules — réf 1</t>
        </is>
      </c>
      <c r="C94" t="inlineStr">
        <is>
          <t>Electricité</t>
        </is>
      </c>
      <c r="D94" t="inlineStr">
        <is>
          <t>Câblage &amp; protection</t>
        </is>
      </c>
      <c r="E94" t="inlineStr">
        <is>
          <t>unité</t>
        </is>
      </c>
      <c r="F94" t="n">
        <v>7450</v>
      </c>
      <c r="G94" t="n">
        <v>2.39</v>
      </c>
      <c r="H94" t="inlineStr">
        <is>
          <t>Élec-Faso</t>
        </is>
      </c>
      <c r="I94" t="inlineStr">
        <is>
          <t>ELE-0093</t>
        </is>
      </c>
      <c r="J94" t="n">
        <v>0.18</v>
      </c>
      <c r="K94" t="n">
        <v>1</v>
      </c>
    </row>
    <row r="95">
      <c r="A95" t="n">
        <v>94</v>
      </c>
      <c r="B95" t="inlineStr">
        <is>
          <t>Tableau 18 modules — réf 2</t>
        </is>
      </c>
      <c r="C95" t="inlineStr">
        <is>
          <t>Electricité</t>
        </is>
      </c>
      <c r="D95" t="inlineStr">
        <is>
          <t>Câblage &amp; protection</t>
        </is>
      </c>
      <c r="E95" t="inlineStr">
        <is>
          <t>unité</t>
        </is>
      </c>
      <c r="F95" t="n">
        <v>7575</v>
      </c>
      <c r="G95" t="n">
        <v>3.19</v>
      </c>
      <c r="H95" t="inlineStr">
        <is>
          <t>Élec-Faso</t>
        </is>
      </c>
      <c r="I95" t="inlineStr">
        <is>
          <t>ELE-0094</t>
        </is>
      </c>
      <c r="J95" t="n">
        <v>0.18</v>
      </c>
      <c r="K95" t="n">
        <v>1</v>
      </c>
    </row>
    <row r="96">
      <c r="A96" t="n">
        <v>95</v>
      </c>
      <c r="B96" t="inlineStr">
        <is>
          <t>Douille E27 avec cordon — réf 1</t>
        </is>
      </c>
      <c r="C96" t="inlineStr">
        <is>
          <t>Electricité</t>
        </is>
      </c>
      <c r="D96" t="inlineStr">
        <is>
          <t>Câblage &amp; protection</t>
        </is>
      </c>
      <c r="E96" t="inlineStr">
        <is>
          <t>unité</t>
        </is>
      </c>
      <c r="F96" t="n">
        <v>10500</v>
      </c>
      <c r="G96" t="n">
        <v>2.23</v>
      </c>
      <c r="H96" t="inlineStr">
        <is>
          <t>Élec-Faso</t>
        </is>
      </c>
      <c r="I96" t="inlineStr">
        <is>
          <t>ELE-0095</t>
        </is>
      </c>
      <c r="J96" t="n">
        <v>0.18</v>
      </c>
      <c r="K96" t="n">
        <v>1</v>
      </c>
    </row>
    <row r="97">
      <c r="A97" t="n">
        <v>96</v>
      </c>
      <c r="B97" t="inlineStr">
        <is>
          <t>Douille E27 avec cordon — réf 2</t>
        </is>
      </c>
      <c r="C97" t="inlineStr">
        <is>
          <t>Electricité</t>
        </is>
      </c>
      <c r="D97" t="inlineStr">
        <is>
          <t>Câblage &amp; protection</t>
        </is>
      </c>
      <c r="E97" t="inlineStr">
        <is>
          <t>unité</t>
        </is>
      </c>
      <c r="F97" t="n">
        <v>15900</v>
      </c>
      <c r="G97" t="n">
        <v>1.76</v>
      </c>
      <c r="H97" t="inlineStr">
        <is>
          <t>Élec-Faso</t>
        </is>
      </c>
      <c r="I97" t="inlineStr">
        <is>
          <t>ELE-0096</t>
        </is>
      </c>
      <c r="J97" t="n">
        <v>0.18</v>
      </c>
      <c r="K97" t="n">
        <v>1</v>
      </c>
    </row>
    <row r="98">
      <c r="A98" t="n">
        <v>97</v>
      </c>
      <c r="B98" t="inlineStr">
        <is>
          <t>Passe-câble étanche — réf 1</t>
        </is>
      </c>
      <c r="C98" t="inlineStr">
        <is>
          <t>Electricité</t>
        </is>
      </c>
      <c r="D98" t="inlineStr">
        <is>
          <t>Câblage &amp; protection</t>
        </is>
      </c>
      <c r="E98" t="inlineStr">
        <is>
          <t>unité</t>
        </is>
      </c>
      <c r="F98" t="n">
        <v>14425</v>
      </c>
      <c r="G98" t="n">
        <v>1.96</v>
      </c>
      <c r="H98" t="inlineStr">
        <is>
          <t>Élec-Faso</t>
        </is>
      </c>
      <c r="I98" t="inlineStr">
        <is>
          <t>ELE-0097</t>
        </is>
      </c>
      <c r="J98" t="n">
        <v>0.18</v>
      </c>
      <c r="K98" t="n">
        <v>1</v>
      </c>
    </row>
    <row r="99">
      <c r="A99" t="n">
        <v>98</v>
      </c>
      <c r="B99" t="inlineStr">
        <is>
          <t>Passe-câble étanche — réf 2</t>
        </is>
      </c>
      <c r="C99" t="inlineStr">
        <is>
          <t>Electricité</t>
        </is>
      </c>
      <c r="D99" t="inlineStr">
        <is>
          <t>Câblage &amp; protection</t>
        </is>
      </c>
      <c r="E99" t="inlineStr">
        <is>
          <t>unité</t>
        </is>
      </c>
      <c r="F99" t="n">
        <v>13975</v>
      </c>
      <c r="G99" t="n">
        <v>3.16</v>
      </c>
      <c r="H99" t="inlineStr">
        <is>
          <t>Élec-Faso</t>
        </is>
      </c>
      <c r="I99" t="inlineStr">
        <is>
          <t>ELE-0098</t>
        </is>
      </c>
      <c r="J99" t="n">
        <v>0.18</v>
      </c>
      <c r="K99" t="n">
        <v>1</v>
      </c>
    </row>
    <row r="100">
      <c r="A100" t="n">
        <v>99</v>
      </c>
      <c r="B100" t="inlineStr">
        <is>
          <t>Ampoule LED 9 W — réf 1</t>
        </is>
      </c>
      <c r="C100" t="inlineStr">
        <is>
          <t>Electricité</t>
        </is>
      </c>
      <c r="D100" t="inlineStr">
        <is>
          <t>Éclairage &amp; énergie solaire</t>
        </is>
      </c>
      <c r="E100" t="inlineStr">
        <is>
          <t>unité</t>
        </is>
      </c>
      <c r="F100" t="n">
        <v>8050</v>
      </c>
      <c r="G100" t="n">
        <v>2.33</v>
      </c>
      <c r="H100" t="inlineStr">
        <is>
          <t>Solaire Sahel SARL</t>
        </is>
      </c>
      <c r="I100" t="inlineStr">
        <is>
          <t>ELE-0099</t>
        </is>
      </c>
      <c r="J100" t="n">
        <v>0.18</v>
      </c>
      <c r="K100" t="n">
        <v>1</v>
      </c>
    </row>
    <row r="101">
      <c r="A101" t="n">
        <v>100</v>
      </c>
      <c r="B101" t="inlineStr">
        <is>
          <t>Ampoule LED 9 W — réf 2</t>
        </is>
      </c>
      <c r="C101" t="inlineStr">
        <is>
          <t>Electricité</t>
        </is>
      </c>
      <c r="D101" t="inlineStr">
        <is>
          <t>Éclairage &amp; énergie solaire</t>
        </is>
      </c>
      <c r="E101" t="inlineStr">
        <is>
          <t>unité</t>
        </is>
      </c>
      <c r="F101" t="n">
        <v>16400</v>
      </c>
      <c r="G101" t="n">
        <v>2.38</v>
      </c>
      <c r="H101" t="inlineStr">
        <is>
          <t>Solaire Sahel SARL</t>
        </is>
      </c>
      <c r="I101" t="inlineStr">
        <is>
          <t>ELE-0100</t>
        </is>
      </c>
      <c r="J101" t="n">
        <v>0.18</v>
      </c>
      <c r="K101" t="n">
        <v>1</v>
      </c>
    </row>
    <row r="102">
      <c r="A102" t="n">
        <v>101</v>
      </c>
      <c r="B102" t="inlineStr">
        <is>
          <t>Panneau solaire 100 W — réf 1</t>
        </is>
      </c>
      <c r="C102" t="inlineStr">
        <is>
          <t>Electricité</t>
        </is>
      </c>
      <c r="D102" t="inlineStr">
        <is>
          <t>Éclairage &amp; énergie solaire</t>
        </is>
      </c>
      <c r="E102" t="inlineStr">
        <is>
          <t>unité</t>
        </is>
      </c>
      <c r="F102" t="n">
        <v>8100</v>
      </c>
      <c r="G102" t="n">
        <v>1.94</v>
      </c>
      <c r="H102" t="inlineStr">
        <is>
          <t>Solaire Sahel SARL</t>
        </is>
      </c>
      <c r="I102" t="inlineStr">
        <is>
          <t>ELE-0101</t>
        </is>
      </c>
      <c r="J102" t="n">
        <v>0.18</v>
      </c>
      <c r="K102" t="n">
        <v>1</v>
      </c>
    </row>
    <row r="103">
      <c r="A103" t="n">
        <v>102</v>
      </c>
      <c r="B103" t="inlineStr">
        <is>
          <t>Panneau solaire 100 W — réf 2</t>
        </is>
      </c>
      <c r="C103" t="inlineStr">
        <is>
          <t>Electricité</t>
        </is>
      </c>
      <c r="D103" t="inlineStr">
        <is>
          <t>Éclairage &amp; énergie solaire</t>
        </is>
      </c>
      <c r="E103" t="inlineStr">
        <is>
          <t>unité</t>
        </is>
      </c>
      <c r="F103" t="n">
        <v>13500</v>
      </c>
      <c r="G103" t="n">
        <v>2.09</v>
      </c>
      <c r="H103" t="inlineStr">
        <is>
          <t>Solaire Sahel SARL</t>
        </is>
      </c>
      <c r="I103" t="inlineStr">
        <is>
          <t>ELE-0102</t>
        </is>
      </c>
      <c r="J103" t="n">
        <v>0.18</v>
      </c>
      <c r="K103" t="n">
        <v>1</v>
      </c>
    </row>
    <row r="104">
      <c r="A104" t="n">
        <v>103</v>
      </c>
      <c r="B104" t="inlineStr">
        <is>
          <t>Batterie à décharge lente 120 Ah — réf 1</t>
        </is>
      </c>
      <c r="C104" t="inlineStr">
        <is>
          <t>Electricité</t>
        </is>
      </c>
      <c r="D104" t="inlineStr">
        <is>
          <t>Éclairage &amp; énergie solaire</t>
        </is>
      </c>
      <c r="E104" t="inlineStr">
        <is>
          <t>unité</t>
        </is>
      </c>
      <c r="F104" t="n">
        <v>14950</v>
      </c>
      <c r="G104" t="n">
        <v>1.82</v>
      </c>
      <c r="H104" t="inlineStr">
        <is>
          <t>Solaire Sahel SARL</t>
        </is>
      </c>
      <c r="I104" t="inlineStr">
        <is>
          <t>ELE-0103</t>
        </is>
      </c>
      <c r="J104" t="n">
        <v>0.18</v>
      </c>
      <c r="K104" t="n">
        <v>1</v>
      </c>
    </row>
    <row r="105">
      <c r="A105" t="n">
        <v>104</v>
      </c>
      <c r="B105" t="inlineStr">
        <is>
          <t>Batterie à décharge lente 120 Ah — réf 2</t>
        </is>
      </c>
      <c r="C105" t="inlineStr">
        <is>
          <t>Electricité</t>
        </is>
      </c>
      <c r="D105" t="inlineStr">
        <is>
          <t>Éclairage &amp; énergie solaire</t>
        </is>
      </c>
      <c r="E105" t="inlineStr">
        <is>
          <t>unité</t>
        </is>
      </c>
      <c r="F105" t="n">
        <v>16275</v>
      </c>
      <c r="G105" t="n">
        <v>2.06</v>
      </c>
      <c r="H105" t="inlineStr">
        <is>
          <t>Solaire Sahel SARL</t>
        </is>
      </c>
      <c r="I105" t="inlineStr">
        <is>
          <t>ELE-0104</t>
        </is>
      </c>
      <c r="J105" t="n">
        <v>0.18</v>
      </c>
      <c r="K105" t="n">
        <v>1</v>
      </c>
    </row>
    <row r="106">
      <c r="A106" t="n">
        <v>105</v>
      </c>
      <c r="B106" t="inlineStr">
        <is>
          <t>Régulateur de charge 10 A — réf 1</t>
        </is>
      </c>
      <c r="C106" t="inlineStr">
        <is>
          <t>Electricité</t>
        </is>
      </c>
      <c r="D106" t="inlineStr">
        <is>
          <t>Éclairage &amp; énergie solaire</t>
        </is>
      </c>
      <c r="E106" t="inlineStr">
        <is>
          <t>unité</t>
        </is>
      </c>
      <c r="F106" t="n">
        <v>18725</v>
      </c>
      <c r="G106" t="n">
        <v>2.3</v>
      </c>
      <c r="H106" t="inlineStr">
        <is>
          <t>Solaire Sahel SARL</t>
        </is>
      </c>
      <c r="I106" t="inlineStr">
        <is>
          <t>ELE-0105</t>
        </is>
      </c>
      <c r="J106" t="n">
        <v>0.18</v>
      </c>
      <c r="K106" t="n">
        <v>1</v>
      </c>
    </row>
    <row r="107">
      <c r="A107" t="n">
        <v>106</v>
      </c>
      <c r="B107" t="inlineStr">
        <is>
          <t>Régulateur de charge 10 A — réf 2</t>
        </is>
      </c>
      <c r="C107" t="inlineStr">
        <is>
          <t>Electricité</t>
        </is>
      </c>
      <c r="D107" t="inlineStr">
        <is>
          <t>Éclairage &amp; énergie solaire</t>
        </is>
      </c>
      <c r="E107" t="inlineStr">
        <is>
          <t>unité</t>
        </is>
      </c>
      <c r="F107" t="n">
        <v>9650</v>
      </c>
      <c r="G107" t="n">
        <v>2.26</v>
      </c>
      <c r="H107" t="inlineStr">
        <is>
          <t>Solaire Sahel SARL</t>
        </is>
      </c>
      <c r="I107" t="inlineStr">
        <is>
          <t>ELE-0106</t>
        </is>
      </c>
      <c r="J107" t="n">
        <v>0.18</v>
      </c>
      <c r="K107" t="n">
        <v>1</v>
      </c>
    </row>
    <row r="108">
      <c r="A108" t="n">
        <v>107</v>
      </c>
      <c r="B108" t="inlineStr">
        <is>
          <t>Lampe solaire murale — réf 1</t>
        </is>
      </c>
      <c r="C108" t="inlineStr">
        <is>
          <t>Electricité</t>
        </is>
      </c>
      <c r="D108" t="inlineStr">
        <is>
          <t>Éclairage &amp; énergie solaire</t>
        </is>
      </c>
      <c r="E108" t="inlineStr">
        <is>
          <t>unité</t>
        </is>
      </c>
      <c r="F108" t="n">
        <v>8850</v>
      </c>
      <c r="G108" t="n">
        <v>0.95</v>
      </c>
      <c r="H108" t="inlineStr">
        <is>
          <t>Solaire Sahel SARL</t>
        </is>
      </c>
      <c r="I108" t="inlineStr">
        <is>
          <t>ELE-0107</t>
        </is>
      </c>
      <c r="J108" t="n">
        <v>0.18</v>
      </c>
      <c r="K108" t="n">
        <v>1</v>
      </c>
    </row>
    <row r="109">
      <c r="A109" t="n">
        <v>108</v>
      </c>
      <c r="B109" t="inlineStr">
        <is>
          <t>Lampe solaire murale — réf 2</t>
        </is>
      </c>
      <c r="C109" t="inlineStr">
        <is>
          <t>Electricité</t>
        </is>
      </c>
      <c r="D109" t="inlineStr">
        <is>
          <t>Éclairage &amp; énergie solaire</t>
        </is>
      </c>
      <c r="E109" t="inlineStr">
        <is>
          <t>unité</t>
        </is>
      </c>
      <c r="F109" t="n">
        <v>18825</v>
      </c>
      <c r="G109" t="n">
        <v>0.84</v>
      </c>
      <c r="H109" t="inlineStr">
        <is>
          <t>Solaire Sahel SARL</t>
        </is>
      </c>
      <c r="I109" t="inlineStr">
        <is>
          <t>ELE-0108</t>
        </is>
      </c>
      <c r="J109" t="n">
        <v>0.18</v>
      </c>
      <c r="K109" t="n">
        <v>1</v>
      </c>
    </row>
    <row r="110">
      <c r="A110" t="n">
        <v>109</v>
      </c>
      <c r="B110" t="inlineStr">
        <is>
          <t>Projecteur LED 30 W — réf 1</t>
        </is>
      </c>
      <c r="C110" t="inlineStr">
        <is>
          <t>Electricité</t>
        </is>
      </c>
      <c r="D110" t="inlineStr">
        <is>
          <t>Éclairage &amp; énergie solaire</t>
        </is>
      </c>
      <c r="E110" t="inlineStr">
        <is>
          <t>unité</t>
        </is>
      </c>
      <c r="F110" t="n">
        <v>8100</v>
      </c>
      <c r="G110" t="n">
        <v>2.22</v>
      </c>
      <c r="H110" t="inlineStr">
        <is>
          <t>Solaire Sahel SARL</t>
        </is>
      </c>
      <c r="I110" t="inlineStr">
        <is>
          <t>ELE-0109</t>
        </is>
      </c>
      <c r="J110" t="n">
        <v>0.18</v>
      </c>
      <c r="K110" t="n">
        <v>1</v>
      </c>
    </row>
    <row r="111">
      <c r="A111" t="n">
        <v>110</v>
      </c>
      <c r="B111" t="inlineStr">
        <is>
          <t>Projecteur LED 30 W — réf 2</t>
        </is>
      </c>
      <c r="C111" t="inlineStr">
        <is>
          <t>Electricité</t>
        </is>
      </c>
      <c r="D111" t="inlineStr">
        <is>
          <t>Éclairage &amp; énergie solaire</t>
        </is>
      </c>
      <c r="E111" t="inlineStr">
        <is>
          <t>unité</t>
        </is>
      </c>
      <c r="F111" t="n">
        <v>15975</v>
      </c>
      <c r="G111" t="n">
        <v>1.39</v>
      </c>
      <c r="H111" t="inlineStr">
        <is>
          <t>Solaire Sahel SARL</t>
        </is>
      </c>
      <c r="I111" t="inlineStr">
        <is>
          <t>ELE-0110</t>
        </is>
      </c>
      <c r="J111" t="n">
        <v>0.18</v>
      </c>
      <c r="K111" t="n">
        <v>0</v>
      </c>
    </row>
    <row r="112">
      <c r="A112" t="n">
        <v>111</v>
      </c>
      <c r="B112" t="inlineStr">
        <is>
          <t>Lampe torche rechargeable — réf 1</t>
        </is>
      </c>
      <c r="C112" t="inlineStr">
        <is>
          <t>Electricité</t>
        </is>
      </c>
      <c r="D112" t="inlineStr">
        <is>
          <t>Éclairage &amp; énergie solaire</t>
        </is>
      </c>
      <c r="E112" t="inlineStr">
        <is>
          <t>unité</t>
        </is>
      </c>
      <c r="F112" t="n">
        <v>17225</v>
      </c>
      <c r="G112" t="n">
        <v>1.26</v>
      </c>
      <c r="H112" t="inlineStr">
        <is>
          <t>Solaire Sahel SARL</t>
        </is>
      </c>
      <c r="I112" t="inlineStr">
        <is>
          <t>ELE-0111</t>
        </is>
      </c>
      <c r="J112" t="n">
        <v>0.18</v>
      </c>
      <c r="K112" t="n">
        <v>1</v>
      </c>
    </row>
    <row r="113">
      <c r="A113" t="n">
        <v>112</v>
      </c>
      <c r="B113" t="inlineStr">
        <is>
          <t>Lampe torche rechargeable — réf 2</t>
        </is>
      </c>
      <c r="C113" t="inlineStr">
        <is>
          <t>Electricité</t>
        </is>
      </c>
      <c r="D113" t="inlineStr">
        <is>
          <t>Éclairage &amp; énergie solaire</t>
        </is>
      </c>
      <c r="E113" t="inlineStr">
        <is>
          <t>unité</t>
        </is>
      </c>
      <c r="F113" t="n">
        <v>18200</v>
      </c>
      <c r="G113" t="n">
        <v>1.2</v>
      </c>
      <c r="H113" t="inlineStr">
        <is>
          <t>Solaire Sahel SARL</t>
        </is>
      </c>
      <c r="I113" t="inlineStr">
        <is>
          <t>ELE-0112</t>
        </is>
      </c>
      <c r="J113" t="n">
        <v>0.18</v>
      </c>
      <c r="K113" t="n">
        <v>1</v>
      </c>
    </row>
    <row r="114">
      <c r="A114" t="n">
        <v>113</v>
      </c>
      <c r="B114" t="inlineStr">
        <is>
          <t>Peinture acrylique blanc 10 L — réf 1</t>
        </is>
      </c>
      <c r="C114" t="inlineStr">
        <is>
          <t>Peinture</t>
        </is>
      </c>
      <c r="D114" t="inlineStr">
        <is>
          <t>Peintures &amp; enduits</t>
        </is>
      </c>
      <c r="E114" t="inlineStr">
        <is>
          <t>litre</t>
        </is>
      </c>
      <c r="F114" t="n">
        <v>3675</v>
      </c>
      <c r="G114" t="n">
        <v>1.37</v>
      </c>
      <c r="H114" t="inlineStr">
        <is>
          <t>Peinture Saaba</t>
        </is>
      </c>
      <c r="I114" t="inlineStr">
        <is>
          <t>PEI-0113</t>
        </is>
      </c>
      <c r="J114" t="n">
        <v>0.18</v>
      </c>
      <c r="K114" t="n">
        <v>1</v>
      </c>
    </row>
    <row r="115">
      <c r="A115" t="n">
        <v>114</v>
      </c>
      <c r="B115" t="inlineStr">
        <is>
          <t>Peinture acrylique blanc 10 L — réf 2</t>
        </is>
      </c>
      <c r="C115" t="inlineStr">
        <is>
          <t>Peinture</t>
        </is>
      </c>
      <c r="D115" t="inlineStr">
        <is>
          <t>Peintures &amp; enduits</t>
        </is>
      </c>
      <c r="E115" t="inlineStr">
        <is>
          <t>litre</t>
        </is>
      </c>
      <c r="F115" t="n">
        <v>5750</v>
      </c>
      <c r="G115" t="n">
        <v>0.65</v>
      </c>
      <c r="H115" t="inlineStr">
        <is>
          <t>Peinture Saaba</t>
        </is>
      </c>
      <c r="I115" t="inlineStr">
        <is>
          <t>PEI-0114</t>
        </is>
      </c>
      <c r="J115" t="n">
        <v>0.18</v>
      </c>
      <c r="K115" t="n">
        <v>1</v>
      </c>
    </row>
    <row r="116">
      <c r="A116" t="n">
        <v>115</v>
      </c>
      <c r="B116" t="inlineStr">
        <is>
          <t>Peinture glycéro 1 L — réf 1</t>
        </is>
      </c>
      <c r="C116" t="inlineStr">
        <is>
          <t>Peinture</t>
        </is>
      </c>
      <c r="D116" t="inlineStr">
        <is>
          <t>Peintures &amp; enduits</t>
        </is>
      </c>
      <c r="E116" t="inlineStr">
        <is>
          <t>litre</t>
        </is>
      </c>
      <c r="F116" t="n">
        <v>2750</v>
      </c>
      <c r="G116" t="n">
        <v>1.57</v>
      </c>
      <c r="H116" t="inlineStr">
        <is>
          <t>Peinture Saaba</t>
        </is>
      </c>
      <c r="I116" t="inlineStr">
        <is>
          <t>PEI-0115</t>
        </is>
      </c>
      <c r="J116" t="n">
        <v>0.18</v>
      </c>
      <c r="K116" t="n">
        <v>1</v>
      </c>
    </row>
    <row r="117">
      <c r="A117" t="n">
        <v>116</v>
      </c>
      <c r="B117" t="inlineStr">
        <is>
          <t>Peinture glycéro 1 L — réf 2</t>
        </is>
      </c>
      <c r="C117" t="inlineStr">
        <is>
          <t>Peinture</t>
        </is>
      </c>
      <c r="D117" t="inlineStr">
        <is>
          <t>Peintures &amp; enduits</t>
        </is>
      </c>
      <c r="E117" t="inlineStr">
        <is>
          <t>litre</t>
        </is>
      </c>
      <c r="F117" t="n">
        <v>3275</v>
      </c>
      <c r="G117" t="n">
        <v>1.15</v>
      </c>
      <c r="H117" t="inlineStr">
        <is>
          <t>Peinture Saaba</t>
        </is>
      </c>
      <c r="I117" t="inlineStr">
        <is>
          <t>PEI-0116</t>
        </is>
      </c>
      <c r="J117" t="n">
        <v>0.18</v>
      </c>
      <c r="K117" t="n">
        <v>1</v>
      </c>
    </row>
    <row r="118">
      <c r="A118" t="n">
        <v>117</v>
      </c>
      <c r="B118" t="inlineStr">
        <is>
          <t>Enduit de rebouchage 5 kg — réf 1</t>
        </is>
      </c>
      <c r="C118" t="inlineStr">
        <is>
          <t>Peinture</t>
        </is>
      </c>
      <c r="D118" t="inlineStr">
        <is>
          <t>Peintures &amp; enduits</t>
        </is>
      </c>
      <c r="E118" t="inlineStr">
        <is>
          <t>litre</t>
        </is>
      </c>
      <c r="F118" t="n">
        <v>3550</v>
      </c>
      <c r="G118" t="n">
        <v>1.63</v>
      </c>
      <c r="H118" t="inlineStr">
        <is>
          <t>Peinture Saaba</t>
        </is>
      </c>
      <c r="I118" t="inlineStr">
        <is>
          <t>PEI-0117</t>
        </is>
      </c>
      <c r="J118" t="n">
        <v>0.18</v>
      </c>
      <c r="K118" t="n">
        <v>1</v>
      </c>
    </row>
    <row r="119">
      <c r="A119" t="n">
        <v>118</v>
      </c>
      <c r="B119" t="inlineStr">
        <is>
          <t>Enduit de rebouchage 5 kg — réf 2</t>
        </is>
      </c>
      <c r="C119" t="inlineStr">
        <is>
          <t>Peinture</t>
        </is>
      </c>
      <c r="D119" t="inlineStr">
        <is>
          <t>Peintures &amp; enduits</t>
        </is>
      </c>
      <c r="E119" t="inlineStr">
        <is>
          <t>litre</t>
        </is>
      </c>
      <c r="F119" t="n">
        <v>4150</v>
      </c>
      <c r="G119" t="n">
        <v>1.02</v>
      </c>
      <c r="H119" t="inlineStr">
        <is>
          <t>Peinture Saaba</t>
        </is>
      </c>
      <c r="I119" t="inlineStr">
        <is>
          <t>PEI-0118</t>
        </is>
      </c>
      <c r="J119" t="n">
        <v>0.18</v>
      </c>
      <c r="K119" t="n">
        <v>1</v>
      </c>
    </row>
    <row r="120">
      <c r="A120" t="n">
        <v>119</v>
      </c>
      <c r="B120" t="inlineStr">
        <is>
          <t>Vernis marin 1 L — réf 1</t>
        </is>
      </c>
      <c r="C120" t="inlineStr">
        <is>
          <t>Peinture</t>
        </is>
      </c>
      <c r="D120" t="inlineStr">
        <is>
          <t>Peintures &amp; enduits</t>
        </is>
      </c>
      <c r="E120" t="inlineStr">
        <is>
          <t>litre</t>
        </is>
      </c>
      <c r="F120" t="n">
        <v>4825</v>
      </c>
      <c r="G120" t="n">
        <v>0.76</v>
      </c>
      <c r="H120" t="inlineStr">
        <is>
          <t>Peinture Saaba</t>
        </is>
      </c>
      <c r="I120" t="inlineStr">
        <is>
          <t>PEI-0119</t>
        </is>
      </c>
      <c r="J120" t="n">
        <v>0.18</v>
      </c>
      <c r="K120" t="n">
        <v>1</v>
      </c>
    </row>
    <row r="121">
      <c r="A121" t="n">
        <v>120</v>
      </c>
      <c r="B121" t="inlineStr">
        <is>
          <t>Vernis marin 1 L — réf 2</t>
        </is>
      </c>
      <c r="C121" t="inlineStr">
        <is>
          <t>Peinture</t>
        </is>
      </c>
      <c r="D121" t="inlineStr">
        <is>
          <t>Peintures &amp; enduits</t>
        </is>
      </c>
      <c r="E121" t="inlineStr">
        <is>
          <t>litre</t>
        </is>
      </c>
      <c r="F121" t="n">
        <v>3250</v>
      </c>
      <c r="G121" t="n">
        <v>0.6899999999999999</v>
      </c>
      <c r="H121" t="inlineStr">
        <is>
          <t>Peinture Saaba</t>
        </is>
      </c>
      <c r="I121" t="inlineStr">
        <is>
          <t>PEI-0120</t>
        </is>
      </c>
      <c r="J121" t="n">
        <v>0.18</v>
      </c>
      <c r="K121" t="n">
        <v>1</v>
      </c>
    </row>
    <row r="122">
      <c r="A122" t="n">
        <v>121</v>
      </c>
      <c r="B122" t="inlineStr">
        <is>
          <t>Antirouille rouge brique 1 L — réf 1</t>
        </is>
      </c>
      <c r="C122" t="inlineStr">
        <is>
          <t>Peinture</t>
        </is>
      </c>
      <c r="D122" t="inlineStr">
        <is>
          <t>Peintures &amp; enduits</t>
        </is>
      </c>
      <c r="E122" t="inlineStr">
        <is>
          <t>litre</t>
        </is>
      </c>
      <c r="F122" t="n">
        <v>4400</v>
      </c>
      <c r="G122" t="n">
        <v>0.68</v>
      </c>
      <c r="H122" t="inlineStr">
        <is>
          <t>Peinture Saaba</t>
        </is>
      </c>
      <c r="I122" t="inlineStr">
        <is>
          <t>PEI-0121</t>
        </is>
      </c>
      <c r="J122" t="n">
        <v>0.18</v>
      </c>
      <c r="K122" t="n">
        <v>1</v>
      </c>
    </row>
    <row r="123">
      <c r="A123" t="n">
        <v>122</v>
      </c>
      <c r="B123" t="inlineStr">
        <is>
          <t>Antirouille rouge brique 1 L — réf 2</t>
        </is>
      </c>
      <c r="C123" t="inlineStr">
        <is>
          <t>Peinture</t>
        </is>
      </c>
      <c r="D123" t="inlineStr">
        <is>
          <t>Peintures &amp; enduits</t>
        </is>
      </c>
      <c r="E123" t="inlineStr">
        <is>
          <t>litre</t>
        </is>
      </c>
      <c r="F123" t="n">
        <v>5975</v>
      </c>
      <c r="G123" t="n">
        <v>0.71</v>
      </c>
      <c r="H123" t="inlineStr">
        <is>
          <t>Peinture Saaba</t>
        </is>
      </c>
      <c r="I123" t="inlineStr">
        <is>
          <t>PEI-0122</t>
        </is>
      </c>
      <c r="J123" t="n">
        <v>0.18</v>
      </c>
      <c r="K123" t="n">
        <v>1</v>
      </c>
    </row>
    <row r="124">
      <c r="A124" t="n">
        <v>123</v>
      </c>
      <c r="B124" t="inlineStr">
        <is>
          <t>Peinture toiture 25 kg — réf 1</t>
        </is>
      </c>
      <c r="C124" t="inlineStr">
        <is>
          <t>Peinture</t>
        </is>
      </c>
      <c r="D124" t="inlineStr">
        <is>
          <t>Peintures &amp; enduits</t>
        </is>
      </c>
      <c r="E124" t="inlineStr">
        <is>
          <t>litre</t>
        </is>
      </c>
      <c r="F124" t="n">
        <v>3425</v>
      </c>
      <c r="G124" t="n">
        <v>0.59</v>
      </c>
      <c r="H124" t="inlineStr">
        <is>
          <t>Peinture Saaba</t>
        </is>
      </c>
      <c r="I124" t="inlineStr">
        <is>
          <t>PEI-0123</t>
        </is>
      </c>
      <c r="J124" t="n">
        <v>0.18</v>
      </c>
      <c r="K124" t="n">
        <v>1</v>
      </c>
    </row>
    <row r="125">
      <c r="A125" t="n">
        <v>124</v>
      </c>
      <c r="B125" t="inlineStr">
        <is>
          <t>Peinture toiture 25 kg — réf 2</t>
        </is>
      </c>
      <c r="C125" t="inlineStr">
        <is>
          <t>Peinture</t>
        </is>
      </c>
      <c r="D125" t="inlineStr">
        <is>
          <t>Peintures &amp; enduits</t>
        </is>
      </c>
      <c r="E125" t="inlineStr">
        <is>
          <t>litre</t>
        </is>
      </c>
      <c r="F125" t="n">
        <v>5225</v>
      </c>
      <c r="G125" t="n">
        <v>1.59</v>
      </c>
      <c r="H125" t="inlineStr">
        <is>
          <t>Peinture Saaba</t>
        </is>
      </c>
      <c r="I125" t="inlineStr">
        <is>
          <t>PEI-0124</t>
        </is>
      </c>
      <c r="J125" t="n">
        <v>0.18</v>
      </c>
      <c r="K125" t="n">
        <v>1</v>
      </c>
    </row>
    <row r="126">
      <c r="A126" t="n">
        <v>125</v>
      </c>
      <c r="B126" t="inlineStr">
        <is>
          <t>Diluant nitro 5 L — réf 1</t>
        </is>
      </c>
      <c r="C126" t="inlineStr">
        <is>
          <t>Peinture</t>
        </is>
      </c>
      <c r="D126" t="inlineStr">
        <is>
          <t>Peintures &amp; enduits</t>
        </is>
      </c>
      <c r="E126" t="inlineStr">
        <is>
          <t>litre</t>
        </is>
      </c>
      <c r="F126" t="n">
        <v>3875</v>
      </c>
      <c r="G126" t="n">
        <v>0.9399999999999999</v>
      </c>
      <c r="H126" t="inlineStr">
        <is>
          <t>Peinture Saaba</t>
        </is>
      </c>
      <c r="I126" t="inlineStr">
        <is>
          <t>PEI-0125</t>
        </is>
      </c>
      <c r="J126" t="n">
        <v>0.18</v>
      </c>
      <c r="K126" t="n">
        <v>1</v>
      </c>
    </row>
    <row r="127">
      <c r="A127" t="n">
        <v>126</v>
      </c>
      <c r="B127" t="inlineStr">
        <is>
          <t>Diluant nitro 5 L — réf 2</t>
        </is>
      </c>
      <c r="C127" t="inlineStr">
        <is>
          <t>Peinture</t>
        </is>
      </c>
      <c r="D127" t="inlineStr">
        <is>
          <t>Peintures &amp; enduits</t>
        </is>
      </c>
      <c r="E127" t="inlineStr">
        <is>
          <t>litre</t>
        </is>
      </c>
      <c r="F127" t="n">
        <v>3675</v>
      </c>
      <c r="G127" t="n">
        <v>1.54</v>
      </c>
      <c r="H127" t="inlineStr">
        <is>
          <t>Peinture Saaba</t>
        </is>
      </c>
      <c r="I127" t="inlineStr">
        <is>
          <t>PEI-0126</t>
        </is>
      </c>
      <c r="J127" t="n">
        <v>0.18</v>
      </c>
      <c r="K127" t="n">
        <v>1</v>
      </c>
    </row>
    <row r="128">
      <c r="A128" t="n">
        <v>127</v>
      </c>
      <c r="B128" t="inlineStr">
        <is>
          <t>Panneau contreplaqué 15 mm — réf 1</t>
        </is>
      </c>
      <c r="C128" t="inlineStr">
        <is>
          <t>Bois &amp; panneaux</t>
        </is>
      </c>
      <c r="D128" t="inlineStr">
        <is>
          <t>Panels &amp; lames</t>
        </is>
      </c>
      <c r="E128" t="inlineStr">
        <is>
          <t>unité</t>
        </is>
      </c>
      <c r="F128" t="n">
        <v>15975</v>
      </c>
      <c r="G128" t="n">
        <v>13.11</v>
      </c>
      <c r="H128" t="inlineStr">
        <is>
          <t>Boissonnerie de Koudougou</t>
        </is>
      </c>
      <c r="I128" t="inlineStr">
        <is>
          <t>BOI-0127</t>
        </is>
      </c>
      <c r="J128" t="n">
        <v>0.18</v>
      </c>
      <c r="K128" t="n">
        <v>1</v>
      </c>
    </row>
    <row r="129">
      <c r="A129" t="n">
        <v>128</v>
      </c>
      <c r="B129" t="inlineStr">
        <is>
          <t>Panneau contreplaqué 15 mm — réf 2</t>
        </is>
      </c>
      <c r="C129" t="inlineStr">
        <is>
          <t>Bois &amp; panneaux</t>
        </is>
      </c>
      <c r="D129" t="inlineStr">
        <is>
          <t>Panels &amp; lames</t>
        </is>
      </c>
      <c r="E129" t="inlineStr">
        <is>
          <t>unité</t>
        </is>
      </c>
      <c r="F129" t="n">
        <v>15675</v>
      </c>
      <c r="G129" t="n">
        <v>15.28</v>
      </c>
      <c r="H129" t="inlineStr">
        <is>
          <t>Boissonnerie de Koudougou</t>
        </is>
      </c>
      <c r="I129" t="inlineStr">
        <is>
          <t>BOI-0128</t>
        </is>
      </c>
      <c r="J129" t="n">
        <v>0.18</v>
      </c>
      <c r="K129" t="n">
        <v>1</v>
      </c>
    </row>
    <row r="130">
      <c r="A130" t="n">
        <v>129</v>
      </c>
      <c r="B130" t="inlineStr">
        <is>
          <t>Panneau MDF 12 mm — réf 1</t>
        </is>
      </c>
      <c r="C130" t="inlineStr">
        <is>
          <t>Bois &amp; panneaux</t>
        </is>
      </c>
      <c r="D130" t="inlineStr">
        <is>
          <t>Panels &amp; lames</t>
        </is>
      </c>
      <c r="E130" t="inlineStr">
        <is>
          <t>unité</t>
        </is>
      </c>
      <c r="F130" t="n">
        <v>15450</v>
      </c>
      <c r="G130" t="n">
        <v>17.47</v>
      </c>
      <c r="H130" t="inlineStr">
        <is>
          <t>Boissonnerie de Koudougou</t>
        </is>
      </c>
      <c r="I130" t="inlineStr">
        <is>
          <t>BOI-0129</t>
        </is>
      </c>
      <c r="J130" t="n">
        <v>0.18</v>
      </c>
      <c r="K130" t="n">
        <v>1</v>
      </c>
    </row>
    <row r="131">
      <c r="A131" t="n">
        <v>130</v>
      </c>
      <c r="B131" t="inlineStr">
        <is>
          <t>Panneau MDF 12 mm — réf 2</t>
        </is>
      </c>
      <c r="C131" t="inlineStr">
        <is>
          <t>Bois &amp; panneaux</t>
        </is>
      </c>
      <c r="D131" t="inlineStr">
        <is>
          <t>Panels &amp; lames</t>
        </is>
      </c>
      <c r="E131" t="inlineStr">
        <is>
          <t>unité</t>
        </is>
      </c>
      <c r="F131" t="n">
        <v>19650</v>
      </c>
      <c r="G131" t="n">
        <v>10.9</v>
      </c>
      <c r="H131" t="inlineStr">
        <is>
          <t>Boissonnerie de Koudougou</t>
        </is>
      </c>
      <c r="I131" t="inlineStr">
        <is>
          <t>BOI-0130</t>
        </is>
      </c>
      <c r="J131" t="n">
        <v>0.18</v>
      </c>
      <c r="K131" t="n">
        <v>1</v>
      </c>
    </row>
    <row r="132">
      <c r="A132" t="n">
        <v>131</v>
      </c>
      <c r="B132" t="inlineStr">
        <is>
          <t>Lame de lambris 4 m — réf 1</t>
        </is>
      </c>
      <c r="C132" t="inlineStr">
        <is>
          <t>Bois &amp; panneaux</t>
        </is>
      </c>
      <c r="D132" t="inlineStr">
        <is>
          <t>Panels &amp; lames</t>
        </is>
      </c>
      <c r="E132" t="inlineStr">
        <is>
          <t>unité</t>
        </is>
      </c>
      <c r="F132" t="n">
        <v>9000</v>
      </c>
      <c r="G132" t="n">
        <v>17.16</v>
      </c>
      <c r="H132" t="inlineStr">
        <is>
          <t>Boissonnerie de Koudougou</t>
        </is>
      </c>
      <c r="I132" t="inlineStr">
        <is>
          <t>BOI-0131</t>
        </is>
      </c>
      <c r="J132" t="n">
        <v>0.18</v>
      </c>
      <c r="K132" t="n">
        <v>1</v>
      </c>
    </row>
    <row r="133">
      <c r="A133" t="n">
        <v>132</v>
      </c>
      <c r="B133" t="inlineStr">
        <is>
          <t>Lame de lambris 4 m — réf 2</t>
        </is>
      </c>
      <c r="C133" t="inlineStr">
        <is>
          <t>Bois &amp; panneaux</t>
        </is>
      </c>
      <c r="D133" t="inlineStr">
        <is>
          <t>Panels &amp; lames</t>
        </is>
      </c>
      <c r="E133" t="inlineStr">
        <is>
          <t>unité</t>
        </is>
      </c>
      <c r="F133" t="n">
        <v>13400</v>
      </c>
      <c r="G133" t="n">
        <v>11.85</v>
      </c>
      <c r="H133" t="inlineStr">
        <is>
          <t>Boissonnerie de Koudougou</t>
        </is>
      </c>
      <c r="I133" t="inlineStr">
        <is>
          <t>BOI-0132</t>
        </is>
      </c>
      <c r="J133" t="n">
        <v>0.18</v>
      </c>
      <c r="K133" t="n">
        <v>1</v>
      </c>
    </row>
    <row r="134">
      <c r="A134" t="n">
        <v>133</v>
      </c>
      <c r="B134" t="inlineStr">
        <is>
          <t>Plaque de plâtre 13 mm — réf 1</t>
        </is>
      </c>
      <c r="C134" t="inlineStr">
        <is>
          <t>Bois &amp; panneaux</t>
        </is>
      </c>
      <c r="D134" t="inlineStr">
        <is>
          <t>Panels &amp; lames</t>
        </is>
      </c>
      <c r="E134" t="inlineStr">
        <is>
          <t>unité</t>
        </is>
      </c>
      <c r="F134" t="n">
        <v>8275</v>
      </c>
      <c r="G134" t="n">
        <v>9.82</v>
      </c>
      <c r="H134" t="inlineStr">
        <is>
          <t>Boissonnerie de Koudougou</t>
        </is>
      </c>
      <c r="I134" t="inlineStr">
        <is>
          <t>BOI-0133</t>
        </is>
      </c>
      <c r="J134" t="n">
        <v>0.18</v>
      </c>
      <c r="K134" t="n">
        <v>1</v>
      </c>
    </row>
    <row r="135">
      <c r="A135" t="n">
        <v>134</v>
      </c>
      <c r="B135" t="inlineStr">
        <is>
          <t>Plaque de plâtre 13 mm — réf 2</t>
        </is>
      </c>
      <c r="C135" t="inlineStr">
        <is>
          <t>Bois &amp; panneaux</t>
        </is>
      </c>
      <c r="D135" t="inlineStr">
        <is>
          <t>Panels &amp; lames</t>
        </is>
      </c>
      <c r="E135" t="inlineStr">
        <is>
          <t>unité</t>
        </is>
      </c>
      <c r="F135" t="n">
        <v>11750</v>
      </c>
      <c r="G135" t="n">
        <v>18.4</v>
      </c>
      <c r="H135" t="inlineStr">
        <is>
          <t>Boissonnerie de Koudougou</t>
        </is>
      </c>
      <c r="I135" t="inlineStr">
        <is>
          <t>BOI-0134</t>
        </is>
      </c>
      <c r="J135" t="n">
        <v>0.18</v>
      </c>
      <c r="K135" t="n">
        <v>1</v>
      </c>
    </row>
    <row r="136">
      <c r="A136" t="n">
        <v>135</v>
      </c>
      <c r="B136" t="inlineStr">
        <is>
          <t>Baguette de finition 2,4 m — réf 1</t>
        </is>
      </c>
      <c r="C136" t="inlineStr">
        <is>
          <t>Bois &amp; panneaux</t>
        </is>
      </c>
      <c r="D136" t="inlineStr">
        <is>
          <t>Panels &amp; lames</t>
        </is>
      </c>
      <c r="E136" t="inlineStr">
        <is>
          <t>unité</t>
        </is>
      </c>
      <c r="F136" t="n">
        <v>9625</v>
      </c>
      <c r="G136" t="n">
        <v>8.800000000000001</v>
      </c>
      <c r="H136" t="inlineStr">
        <is>
          <t>Boissonnerie de Koudougou</t>
        </is>
      </c>
      <c r="I136" t="inlineStr">
        <is>
          <t>BOI-0135</t>
        </is>
      </c>
      <c r="J136" t="n">
        <v>0.18</v>
      </c>
      <c r="K136" t="n">
        <v>1</v>
      </c>
    </row>
    <row r="137">
      <c r="A137" t="n">
        <v>136</v>
      </c>
      <c r="B137" t="inlineStr">
        <is>
          <t>Baguette de finition 2,4 m — réf 2</t>
        </is>
      </c>
      <c r="C137" t="inlineStr">
        <is>
          <t>Bois &amp; panneaux</t>
        </is>
      </c>
      <c r="D137" t="inlineStr">
        <is>
          <t>Panels &amp; lames</t>
        </is>
      </c>
      <c r="E137" t="inlineStr">
        <is>
          <t>unité</t>
        </is>
      </c>
      <c r="F137" t="n">
        <v>12150</v>
      </c>
      <c r="G137" t="n">
        <v>17.1</v>
      </c>
      <c r="H137" t="inlineStr">
        <is>
          <t>Boissonnerie de Koudougou</t>
        </is>
      </c>
      <c r="I137" t="inlineStr">
        <is>
          <t>BOI-0136</t>
        </is>
      </c>
      <c r="J137" t="n">
        <v>0.18</v>
      </c>
      <c r="K137" t="n">
        <v>0</v>
      </c>
    </row>
    <row r="138">
      <c r="A138" t="n">
        <v>137</v>
      </c>
      <c r="B138" t="inlineStr">
        <is>
          <t>Bêche à manche bois — réf 1</t>
        </is>
      </c>
      <c r="C138" t="inlineStr">
        <is>
          <t>Consommables</t>
        </is>
      </c>
      <c r="D138" t="inlineStr">
        <is>
          <t>Divers chantier</t>
        </is>
      </c>
      <c r="E138" t="inlineStr">
        <is>
          <t>unité</t>
        </is>
      </c>
      <c r="F138" t="n">
        <v>4525</v>
      </c>
      <c r="G138" t="n">
        <v>0.63</v>
      </c>
      <c r="H138" t="inlineStr">
        <is>
          <t>EPI Faso</t>
        </is>
      </c>
      <c r="I138" t="inlineStr">
        <is>
          <t>CON-0137</t>
        </is>
      </c>
      <c r="J138" t="n">
        <v>0.18</v>
      </c>
      <c r="K138" t="n">
        <v>1</v>
      </c>
    </row>
    <row r="139">
      <c r="A139" t="n">
        <v>138</v>
      </c>
      <c r="B139" t="inlineStr">
        <is>
          <t>Bêche à manche bois — réf 2</t>
        </is>
      </c>
      <c r="C139" t="inlineStr">
        <is>
          <t>Consommables</t>
        </is>
      </c>
      <c r="D139" t="inlineStr">
        <is>
          <t>Divers chantier</t>
        </is>
      </c>
      <c r="E139" t="inlineStr">
        <is>
          <t>unité</t>
        </is>
      </c>
      <c r="F139" t="n">
        <v>4900</v>
      </c>
      <c r="G139" t="n">
        <v>0.52</v>
      </c>
      <c r="H139" t="inlineStr">
        <is>
          <t>EPI Faso</t>
        </is>
      </c>
      <c r="I139" t="inlineStr">
        <is>
          <t>CON-0138</t>
        </is>
      </c>
      <c r="J139" t="n">
        <v>0.18</v>
      </c>
      <c r="K139" t="n">
        <v>1</v>
      </c>
    </row>
    <row r="140">
      <c r="A140" t="n">
        <v>139</v>
      </c>
      <c r="B140" t="inlineStr">
        <is>
          <t>Pelle carrée — réf 1</t>
        </is>
      </c>
      <c r="C140" t="inlineStr">
        <is>
          <t>Consommables</t>
        </is>
      </c>
      <c r="D140" t="inlineStr">
        <is>
          <t>Divers chantier</t>
        </is>
      </c>
      <c r="E140" t="inlineStr">
        <is>
          <t>unité</t>
        </is>
      </c>
      <c r="F140" t="n">
        <v>8000</v>
      </c>
      <c r="G140" t="n">
        <v>0.86</v>
      </c>
      <c r="H140" t="inlineStr">
        <is>
          <t>EPI Faso</t>
        </is>
      </c>
      <c r="I140" t="inlineStr">
        <is>
          <t>CON-0139</t>
        </is>
      </c>
      <c r="J140" t="n">
        <v>0.18</v>
      </c>
      <c r="K140" t="n">
        <v>1</v>
      </c>
    </row>
    <row r="141">
      <c r="A141" t="n">
        <v>140</v>
      </c>
      <c r="B141" t="inlineStr">
        <is>
          <t>Pelle carrée — réf 2</t>
        </is>
      </c>
      <c r="C141" t="inlineStr">
        <is>
          <t>Consommables</t>
        </is>
      </c>
      <c r="D141" t="inlineStr">
        <is>
          <t>Divers chantier</t>
        </is>
      </c>
      <c r="E141" t="inlineStr">
        <is>
          <t>unité</t>
        </is>
      </c>
      <c r="F141" t="n">
        <v>4425</v>
      </c>
      <c r="G141" t="n">
        <v>0.49</v>
      </c>
      <c r="H141" t="inlineStr">
        <is>
          <t>EPI Faso</t>
        </is>
      </c>
      <c r="I141" t="inlineStr">
        <is>
          <t>CON-0140</t>
        </is>
      </c>
      <c r="J141" t="n">
        <v>0.18</v>
      </c>
      <c r="K141" t="n">
        <v>1</v>
      </c>
    </row>
    <row r="142">
      <c r="A142" t="n">
        <v>141</v>
      </c>
      <c r="B142" t="inlineStr">
        <is>
          <t>Brouette 90 L — réf 1</t>
        </is>
      </c>
      <c r="C142" t="inlineStr">
        <is>
          <t>Consommables</t>
        </is>
      </c>
      <c r="D142" t="inlineStr">
        <is>
          <t>Divers chantier</t>
        </is>
      </c>
      <c r="E142" t="inlineStr">
        <is>
          <t>unité</t>
        </is>
      </c>
      <c r="F142" t="n">
        <v>4375</v>
      </c>
      <c r="G142" t="n">
        <v>0.95</v>
      </c>
      <c r="H142" t="inlineStr">
        <is>
          <t>EPI Faso</t>
        </is>
      </c>
      <c r="I142" t="inlineStr">
        <is>
          <t>CON-0141</t>
        </is>
      </c>
      <c r="J142" t="n">
        <v>0.18</v>
      </c>
      <c r="K142" t="n">
        <v>1</v>
      </c>
    </row>
    <row r="143">
      <c r="A143" t="n">
        <v>142</v>
      </c>
      <c r="B143" t="inlineStr">
        <is>
          <t>Brouette 90 L — réf 2</t>
        </is>
      </c>
      <c r="C143" t="inlineStr">
        <is>
          <t>Consommables</t>
        </is>
      </c>
      <c r="D143" t="inlineStr">
        <is>
          <t>Divers chantier</t>
        </is>
      </c>
      <c r="E143" t="inlineStr">
        <is>
          <t>unité</t>
        </is>
      </c>
      <c r="F143" t="n">
        <v>8400</v>
      </c>
      <c r="G143" t="n">
        <v>0.8</v>
      </c>
      <c r="H143" t="inlineStr">
        <is>
          <t>EPI Faso</t>
        </is>
      </c>
      <c r="I143" t="inlineStr">
        <is>
          <t>CON-0142</t>
        </is>
      </c>
      <c r="J143" t="n">
        <v>0.18</v>
      </c>
      <c r="K143" t="n">
        <v>1</v>
      </c>
    </row>
    <row r="144">
      <c r="A144" t="n">
        <v>143</v>
      </c>
      <c r="B144" t="inlineStr">
        <is>
          <t>Sac de transport 100 kg — réf 1</t>
        </is>
      </c>
      <c r="C144" t="inlineStr">
        <is>
          <t>Consommables</t>
        </is>
      </c>
      <c r="D144" t="inlineStr">
        <is>
          <t>Divers chantier</t>
        </is>
      </c>
      <c r="E144" t="inlineStr">
        <is>
          <t>unité</t>
        </is>
      </c>
      <c r="F144" t="n">
        <v>7425</v>
      </c>
      <c r="G144" t="n">
        <v>0.73</v>
      </c>
      <c r="H144" t="inlineStr">
        <is>
          <t>EPI Faso</t>
        </is>
      </c>
      <c r="I144" t="inlineStr">
        <is>
          <t>CON-0143</t>
        </is>
      </c>
      <c r="J144" t="n">
        <v>0.18</v>
      </c>
      <c r="K144" t="n">
        <v>1</v>
      </c>
    </row>
    <row r="145">
      <c r="A145" t="n">
        <v>144</v>
      </c>
      <c r="B145" t="inlineStr">
        <is>
          <t>Sac de transport 100 kg — réf 2</t>
        </is>
      </c>
      <c r="C145" t="inlineStr">
        <is>
          <t>Consommables</t>
        </is>
      </c>
      <c r="D145" t="inlineStr">
        <is>
          <t>Divers chantier</t>
        </is>
      </c>
      <c r="E145" t="inlineStr">
        <is>
          <t>unité</t>
        </is>
      </c>
      <c r="F145" t="n">
        <v>6625</v>
      </c>
      <c r="G145" t="n">
        <v>0.92</v>
      </c>
      <c r="H145" t="inlineStr">
        <is>
          <t>EPI Faso</t>
        </is>
      </c>
      <c r="I145" t="inlineStr">
        <is>
          <t>CON-0144</t>
        </is>
      </c>
      <c r="J145" t="n">
        <v>0.18</v>
      </c>
      <c r="K145" t="n">
        <v>1</v>
      </c>
    </row>
    <row r="146">
      <c r="A146" t="n">
        <v>145</v>
      </c>
      <c r="B146" t="inlineStr">
        <is>
          <t>Brouette en kit — réf 1</t>
        </is>
      </c>
      <c r="C146" t="inlineStr">
        <is>
          <t>Consommables</t>
        </is>
      </c>
      <c r="D146" t="inlineStr">
        <is>
          <t>Divers chantier</t>
        </is>
      </c>
      <c r="E146" t="inlineStr">
        <is>
          <t>unité</t>
        </is>
      </c>
      <c r="F146" t="n">
        <v>8025</v>
      </c>
      <c r="G146" t="n">
        <v>0.9399999999999999</v>
      </c>
      <c r="H146" t="inlineStr">
        <is>
          <t>EPI Faso</t>
        </is>
      </c>
      <c r="I146" t="inlineStr">
        <is>
          <t>CON-0145</t>
        </is>
      </c>
      <c r="J146" t="n">
        <v>0.18</v>
      </c>
      <c r="K146" t="n">
        <v>1</v>
      </c>
    </row>
    <row r="147">
      <c r="A147" t="n">
        <v>146</v>
      </c>
      <c r="B147" t="inlineStr">
        <is>
          <t>Brouette en kit — réf 2</t>
        </is>
      </c>
      <c r="C147" t="inlineStr">
        <is>
          <t>Consommables</t>
        </is>
      </c>
      <c r="D147" t="inlineStr">
        <is>
          <t>Divers chantier</t>
        </is>
      </c>
      <c r="E147" t="inlineStr">
        <is>
          <t>unité</t>
        </is>
      </c>
      <c r="F147" t="n">
        <v>7800</v>
      </c>
      <c r="G147" t="n">
        <v>0.41</v>
      </c>
      <c r="H147" t="inlineStr">
        <is>
          <t>EPI Faso</t>
        </is>
      </c>
      <c r="I147" t="inlineStr">
        <is>
          <t>CON-0146</t>
        </is>
      </c>
      <c r="J147" t="n">
        <v>0.18</v>
      </c>
      <c r="K147" t="n">
        <v>1</v>
      </c>
    </row>
    <row r="148">
      <c r="A148" t="n">
        <v>147</v>
      </c>
      <c r="B148" t="inlineStr">
        <is>
          <t>Échelle aluminium 4 marches — réf 1</t>
        </is>
      </c>
      <c r="C148" t="inlineStr">
        <is>
          <t>Consommables</t>
        </is>
      </c>
      <c r="D148" t="inlineStr">
        <is>
          <t>Divers chantier</t>
        </is>
      </c>
      <c r="E148" t="inlineStr">
        <is>
          <t>unité</t>
        </is>
      </c>
      <c r="F148" t="n">
        <v>7250</v>
      </c>
      <c r="G148" t="n">
        <v>0.83</v>
      </c>
      <c r="H148" t="inlineStr">
        <is>
          <t>EPI Faso</t>
        </is>
      </c>
      <c r="I148" t="inlineStr">
        <is>
          <t>CON-0147</t>
        </is>
      </c>
      <c r="J148" t="n">
        <v>0.18</v>
      </c>
      <c r="K148" t="n">
        <v>1</v>
      </c>
    </row>
    <row r="149">
      <c r="A149" t="n">
        <v>148</v>
      </c>
      <c r="B149" t="inlineStr">
        <is>
          <t>Échelle aluminium 4 marches — réf 2</t>
        </is>
      </c>
      <c r="C149" t="inlineStr">
        <is>
          <t>Consommables</t>
        </is>
      </c>
      <c r="D149" t="inlineStr">
        <is>
          <t>Divers chantier</t>
        </is>
      </c>
      <c r="E149" t="inlineStr">
        <is>
          <t>unité</t>
        </is>
      </c>
      <c r="F149" t="n">
        <v>7250</v>
      </c>
      <c r="G149" t="n">
        <v>0.75</v>
      </c>
      <c r="H149" t="inlineStr">
        <is>
          <t>EPI Faso</t>
        </is>
      </c>
      <c r="I149" t="inlineStr">
        <is>
          <t>CON-0148</t>
        </is>
      </c>
      <c r="J149" t="n">
        <v>0.18</v>
      </c>
      <c r="K149" t="n">
        <v>1</v>
      </c>
    </row>
    <row r="150">
      <c r="A150" t="n">
        <v>149</v>
      </c>
      <c r="B150" t="inlineStr">
        <is>
          <t>Gants anti-coupure (paire) — réf 1</t>
        </is>
      </c>
      <c r="C150" t="inlineStr">
        <is>
          <t>Consommables</t>
        </is>
      </c>
      <c r="D150" t="inlineStr">
        <is>
          <t>Divers chantier</t>
        </is>
      </c>
      <c r="E150" t="inlineStr">
        <is>
          <t>unité</t>
        </is>
      </c>
      <c r="F150" t="n">
        <v>7525</v>
      </c>
      <c r="G150" t="n">
        <v>0.93</v>
      </c>
      <c r="H150" t="inlineStr">
        <is>
          <t>EPI Faso</t>
        </is>
      </c>
      <c r="I150" t="inlineStr">
        <is>
          <t>CON-0149</t>
        </is>
      </c>
      <c r="J150" t="n">
        <v>0.18</v>
      </c>
      <c r="K150" t="n">
        <v>1</v>
      </c>
    </row>
    <row r="151">
      <c r="A151" t="n">
        <v>150</v>
      </c>
      <c r="B151" t="inlineStr">
        <is>
          <t>Gants anti-coupure (paire) — réf 2</t>
        </is>
      </c>
      <c r="C151" t="inlineStr">
        <is>
          <t>Consommables</t>
        </is>
      </c>
      <c r="D151" t="inlineStr">
        <is>
          <t>Divers chantier</t>
        </is>
      </c>
      <c r="E151" t="inlineStr">
        <is>
          <t>unité</t>
        </is>
      </c>
      <c r="F151" t="n">
        <v>4550</v>
      </c>
      <c r="G151" t="n">
        <v>0.52</v>
      </c>
      <c r="H151" t="inlineStr">
        <is>
          <t>EPI Faso</t>
        </is>
      </c>
      <c r="I151" t="inlineStr">
        <is>
          <t>CON-0150</t>
        </is>
      </c>
      <c r="J151" t="n">
        <v>0.18</v>
      </c>
      <c r="K151" t="n">
        <v>1</v>
      </c>
    </row>
    <row r="152">
      <c r="A152" t="n">
        <v>151</v>
      </c>
      <c r="B152" t="inlineStr">
        <is>
          <t>Lunettes de protection — réf 1</t>
        </is>
      </c>
      <c r="C152" t="inlineStr">
        <is>
          <t>Consommables</t>
        </is>
      </c>
      <c r="D152" t="inlineStr">
        <is>
          <t>Divers chantier</t>
        </is>
      </c>
      <c r="E152" t="inlineStr">
        <is>
          <t>unité</t>
        </is>
      </c>
      <c r="F152" t="n">
        <v>5550</v>
      </c>
      <c r="G152" t="n">
        <v>0.58</v>
      </c>
      <c r="H152" t="inlineStr">
        <is>
          <t>EPI Faso</t>
        </is>
      </c>
      <c r="I152" t="inlineStr">
        <is>
          <t>CON-0151</t>
        </is>
      </c>
      <c r="J152" t="n">
        <v>0.18</v>
      </c>
      <c r="K152" t="n">
        <v>1</v>
      </c>
    </row>
    <row r="153">
      <c r="A153" t="n">
        <v>152</v>
      </c>
      <c r="B153" t="inlineStr">
        <is>
          <t>Lunettes de protection — réf 2</t>
        </is>
      </c>
      <c r="C153" t="inlineStr">
        <is>
          <t>Consommables</t>
        </is>
      </c>
      <c r="D153" t="inlineStr">
        <is>
          <t>Divers chantier</t>
        </is>
      </c>
      <c r="E153" t="inlineStr">
        <is>
          <t>unité</t>
        </is>
      </c>
      <c r="F153" t="n">
        <v>4100</v>
      </c>
      <c r="G153" t="n">
        <v>0.49</v>
      </c>
      <c r="H153" t="inlineStr">
        <is>
          <t>EPI Faso</t>
        </is>
      </c>
      <c r="I153" t="inlineStr">
        <is>
          <t>CON-0152</t>
        </is>
      </c>
      <c r="J153" t="n">
        <v>0.18</v>
      </c>
      <c r="K153" t="n">
        <v>1</v>
      </c>
    </row>
    <row r="154">
      <c r="A154" t="n">
        <v>153</v>
      </c>
      <c r="B154" t="inlineStr">
        <is>
          <t>Casque de chantier — réf 1</t>
        </is>
      </c>
      <c r="C154" t="inlineStr">
        <is>
          <t>Consommables</t>
        </is>
      </c>
      <c r="D154" t="inlineStr">
        <is>
          <t>Divers chantier</t>
        </is>
      </c>
      <c r="E154" t="inlineStr">
        <is>
          <t>unité</t>
        </is>
      </c>
      <c r="F154" t="n">
        <v>7225</v>
      </c>
      <c r="G154" t="n">
        <v>0.77</v>
      </c>
      <c r="H154" t="inlineStr">
        <is>
          <t>EPI Faso</t>
        </is>
      </c>
      <c r="I154" t="inlineStr">
        <is>
          <t>CON-0153</t>
        </is>
      </c>
      <c r="J154" t="n">
        <v>0.18</v>
      </c>
      <c r="K154" t="n">
        <v>1</v>
      </c>
    </row>
    <row r="155">
      <c r="A155" t="n">
        <v>154</v>
      </c>
      <c r="B155" t="inlineStr">
        <is>
          <t>Casque de chantier — réf 2</t>
        </is>
      </c>
      <c r="C155" t="inlineStr">
        <is>
          <t>Consommables</t>
        </is>
      </c>
      <c r="D155" t="inlineStr">
        <is>
          <t>Divers chantier</t>
        </is>
      </c>
      <c r="E155" t="inlineStr">
        <is>
          <t>unité</t>
        </is>
      </c>
      <c r="F155" t="n">
        <v>4675</v>
      </c>
      <c r="G155" t="n">
        <v>0.36</v>
      </c>
      <c r="H155" t="inlineStr">
        <is>
          <t>EPI Faso</t>
        </is>
      </c>
      <c r="I155" t="inlineStr">
        <is>
          <t>CON-0154</t>
        </is>
      </c>
      <c r="J155" t="n">
        <v>0.18</v>
      </c>
      <c r="K1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4" customWidth="1" min="5" max="5"/>
    <col width="20" customWidth="1" min="6" max="6"/>
    <col width="22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3" t="inlineStr">
        <is>
          <t>id_client</t>
        </is>
      </c>
      <c r="B1" s="3" t="inlineStr">
        <is>
          <t>nom</t>
        </is>
      </c>
      <c r="C1" s="3" t="inlineStr">
        <is>
          <t>type_client</t>
        </is>
      </c>
      <c r="D1" s="3" t="inlineStr">
        <is>
          <t>ville</t>
        </is>
      </c>
      <c r="E1" s="3" t="inlineStr">
        <is>
          <t>region</t>
        </is>
      </c>
      <c r="F1" s="3" t="inlineStr">
        <is>
          <t>telephone</t>
        </is>
      </c>
      <c r="G1" s="3" t="inlineStr">
        <is>
          <t>email</t>
        </is>
      </c>
      <c r="H1" s="3" t="inlineStr">
        <is>
          <t>date_creation</t>
        </is>
      </c>
      <c r="I1" s="3" t="inlineStr">
        <is>
          <t>segment</t>
        </is>
      </c>
      <c r="J1" s="3" t="inlineStr">
        <is>
          <t>conditions_paiement</t>
        </is>
      </c>
      <c r="K1" s="3" t="inlineStr">
        <is>
          <t>plafond_credit</t>
        </is>
      </c>
    </row>
    <row r="2">
      <c r="A2" t="n">
        <v>125</v>
      </c>
      <c r="B2" t="inlineStr">
        <is>
          <t>SARL g</t>
        </is>
      </c>
      <c r="C2" t="inlineStr">
        <is>
          <t>Professionnel</t>
        </is>
      </c>
      <c r="D2" t="inlineStr">
        <is>
          <t>Kaya</t>
        </is>
      </c>
      <c r="E2" t="inlineStr">
        <is>
          <t>Centre-Nord</t>
        </is>
      </c>
      <c r="F2" t="inlineStr">
        <is>
          <t>+226 78 38 90 25 54</t>
        </is>
      </c>
      <c r="G2" t="inlineStr">
        <is>
          <t>contact125@entreprise.bf</t>
        </is>
      </c>
      <c r="H2" t="inlineStr">
        <is>
          <t>2020-09-13</t>
        </is>
      </c>
      <c r="I2" t="inlineStr">
        <is>
          <t>Standard</t>
        </is>
      </c>
      <c r="J2" t="inlineStr">
        <is>
          <t>30 j</t>
        </is>
      </c>
      <c r="K2" t="n">
        <v>0</v>
      </c>
    </row>
    <row r="3">
      <c r="A3" t="n">
        <v>182</v>
      </c>
      <c r="B3" t="inlineStr">
        <is>
          <t>Menage 00182</t>
        </is>
      </c>
      <c r="C3" t="inlineStr">
        <is>
          <t>Particulier</t>
        </is>
      </c>
      <c r="D3" t="inlineStr">
        <is>
          <t>Ziniaré</t>
        </is>
      </c>
      <c r="E3" t="inlineStr">
        <is>
          <t>Plateau-Central</t>
        </is>
      </c>
      <c r="F3" t="inlineStr">
        <is>
          <t>+226 74 35 48 20 75</t>
        </is>
      </c>
      <c r="H3" t="inlineStr">
        <is>
          <t>2016-04-20</t>
        </is>
      </c>
      <c r="I3" t="inlineStr">
        <is>
          <t>Standard</t>
        </is>
      </c>
      <c r="J3" t="inlineStr">
        <is>
          <t>Comptant</t>
        </is>
      </c>
      <c r="K3" t="n">
        <v>0</v>
      </c>
    </row>
    <row r="4">
      <c r="A4" t="n">
        <v>246</v>
      </c>
      <c r="B4" t="inlineStr">
        <is>
          <t>Ets o</t>
        </is>
      </c>
      <c r="C4" t="inlineStr">
        <is>
          <t>Professionnel</t>
        </is>
      </c>
      <c r="D4" t="inlineStr">
        <is>
          <t>Ouagadougou</t>
        </is>
      </c>
      <c r="E4" t="inlineStr">
        <is>
          <t>Centre</t>
        </is>
      </c>
      <c r="F4" t="inlineStr">
        <is>
          <t>+226 79 44 35 43 60</t>
        </is>
      </c>
      <c r="G4" t="inlineStr">
        <is>
          <t>contact246@gmail.com</t>
        </is>
      </c>
      <c r="H4" t="inlineStr">
        <is>
          <t>2016-10-16</t>
        </is>
      </c>
      <c r="I4" t="inlineStr">
        <is>
          <t>Standard</t>
        </is>
      </c>
      <c r="J4" t="inlineStr">
        <is>
          <t>Comptant</t>
        </is>
      </c>
      <c r="K4" t="n">
        <v>250000</v>
      </c>
    </row>
    <row r="5">
      <c r="A5" t="n">
        <v>261</v>
      </c>
      <c r="B5" t="inlineStr">
        <is>
          <t>Chantiers o</t>
        </is>
      </c>
      <c r="C5" t="inlineStr">
        <is>
          <t>Professionnel</t>
        </is>
      </c>
      <c r="D5" t="inlineStr">
        <is>
          <t>Ziniaré</t>
        </is>
      </c>
      <c r="E5" t="inlineStr">
        <is>
          <t>Plateau-Central</t>
        </is>
      </c>
      <c r="F5" t="inlineStr">
        <is>
          <t>+226 71 11 37 22 57</t>
        </is>
      </c>
      <c r="G5" t="inlineStr">
        <is>
          <t>contact261@gmail.com</t>
        </is>
      </c>
      <c r="H5" t="inlineStr">
        <is>
          <t>2024-01-24</t>
        </is>
      </c>
      <c r="I5" t="inlineStr">
        <is>
          <t>Standard</t>
        </is>
      </c>
      <c r="J5" t="inlineStr">
        <is>
          <t>Comptant</t>
        </is>
      </c>
      <c r="K5" t="n">
        <v>0</v>
      </c>
    </row>
    <row r="6">
      <c r="A6" t="n">
        <v>353</v>
      </c>
      <c r="B6" t="inlineStr">
        <is>
          <t>Menage 00353</t>
        </is>
      </c>
      <c r="C6" t="inlineStr">
        <is>
          <t>Particulier</t>
        </is>
      </c>
      <c r="D6" t="inlineStr">
        <is>
          <t>Ouagadougou</t>
        </is>
      </c>
      <c r="E6" t="inlineStr">
        <is>
          <t>Centre</t>
        </is>
      </c>
      <c r="F6" t="inlineStr">
        <is>
          <t>+226 74 52 20 61 48</t>
        </is>
      </c>
      <c r="H6" t="inlineStr">
        <is>
          <t>2020-09-14</t>
        </is>
      </c>
      <c r="I6" t="inlineStr">
        <is>
          <t>Standard</t>
        </is>
      </c>
      <c r="J6" t="inlineStr">
        <is>
          <t>Comptant</t>
        </is>
      </c>
      <c r="K6" t="n">
        <v>1500000</v>
      </c>
    </row>
    <row r="7">
      <c r="A7" t="n">
        <v>367</v>
      </c>
      <c r="B7" t="inlineStr">
        <is>
          <t>Chantiers o</t>
        </is>
      </c>
      <c r="C7" t="inlineStr">
        <is>
          <t>Entreprise</t>
        </is>
      </c>
      <c r="D7" t="inlineStr">
        <is>
          <t>Ouagadougou</t>
        </is>
      </c>
      <c r="E7" t="inlineStr">
        <is>
          <t>Centre</t>
        </is>
      </c>
      <c r="F7" t="inlineStr">
        <is>
          <t>+226 78 69 90 11 87</t>
        </is>
      </c>
      <c r="G7" t="inlineStr">
        <is>
          <t>contact367@gmail.com</t>
        </is>
      </c>
      <c r="H7" t="inlineStr">
        <is>
          <t>2020-05-04</t>
        </is>
      </c>
      <c r="I7" t="inlineStr">
        <is>
          <t>Argent</t>
        </is>
      </c>
      <c r="J7" t="inlineStr">
        <is>
          <t>Comptant</t>
        </is>
      </c>
      <c r="K7" t="n">
        <v>0</v>
      </c>
    </row>
    <row r="8">
      <c r="A8" t="n">
        <v>475</v>
      </c>
      <c r="B8" t="inlineStr">
        <is>
          <t>Menage 00475</t>
        </is>
      </c>
      <c r="C8" t="inlineStr">
        <is>
          <t>Particulier</t>
        </is>
      </c>
      <c r="D8" t="inlineStr">
        <is>
          <t>Bobo-Dioulasso</t>
        </is>
      </c>
      <c r="E8" t="inlineStr">
        <is>
          <t>Hauts-Bassins</t>
        </is>
      </c>
      <c r="F8" t="inlineStr">
        <is>
          <t>+226 74 86 77 42 69</t>
        </is>
      </c>
      <c r="H8" t="inlineStr">
        <is>
          <t>2021-07-30</t>
        </is>
      </c>
      <c r="I8" t="inlineStr">
        <is>
          <t>Argent</t>
        </is>
      </c>
      <c r="J8" t="inlineStr">
        <is>
          <t>Comptant</t>
        </is>
      </c>
      <c r="K8" t="n">
        <v>1500000</v>
      </c>
    </row>
    <row r="9">
      <c r="A9" t="n">
        <v>557</v>
      </c>
      <c r="B9" t="inlineStr">
        <is>
          <t>Chantiers é</t>
        </is>
      </c>
      <c r="C9" t="inlineStr">
        <is>
          <t>Professionnel</t>
        </is>
      </c>
      <c r="D9" t="inlineStr">
        <is>
          <t>Ouagadougou</t>
        </is>
      </c>
      <c r="E9" t="inlineStr">
        <is>
          <t>Centre</t>
        </is>
      </c>
      <c r="F9" t="inlineStr">
        <is>
          <t>+226 70 47 24 43 96</t>
        </is>
      </c>
      <c r="G9" t="inlineStr">
        <is>
          <t>contact557@yahoo.fr</t>
        </is>
      </c>
      <c r="H9" t="inlineStr">
        <is>
          <t>2025-07-12</t>
        </is>
      </c>
      <c r="I9" t="inlineStr">
        <is>
          <t>Standard</t>
        </is>
      </c>
      <c r="J9" t="inlineStr">
        <is>
          <t>30 j</t>
        </is>
      </c>
      <c r="K9" t="n">
        <v>0</v>
      </c>
    </row>
    <row r="10">
      <c r="A10" t="n">
        <v>640</v>
      </c>
      <c r="B10" t="inlineStr">
        <is>
          <t>Menage 00640</t>
        </is>
      </c>
      <c r="C10" t="inlineStr">
        <is>
          <t>Particulier</t>
        </is>
      </c>
      <c r="D10" t="inlineStr">
        <is>
          <t>Koudougou</t>
        </is>
      </c>
      <c r="E10" t="inlineStr">
        <is>
          <t>Centre-Ouest</t>
        </is>
      </c>
      <c r="F10" t="inlineStr">
        <is>
          <t>+226 72 50 85 25 80</t>
        </is>
      </c>
      <c r="H10" t="inlineStr">
        <is>
          <t>2016-05-03</t>
        </is>
      </c>
      <c r="I10" t="inlineStr">
        <is>
          <t>Standard</t>
        </is>
      </c>
      <c r="J10" t="inlineStr">
        <is>
          <t>Comptant</t>
        </is>
      </c>
      <c r="K10" t="n">
        <v>250000</v>
      </c>
    </row>
    <row r="11">
      <c r="A11" t="n">
        <v>728</v>
      </c>
      <c r="B11" t="inlineStr">
        <is>
          <t>Menage 00728</t>
        </is>
      </c>
      <c r="C11" t="inlineStr">
        <is>
          <t>Particulier</t>
        </is>
      </c>
      <c r="D11" t="inlineStr">
        <is>
          <t>Ouagadougou</t>
        </is>
      </c>
      <c r="E11" t="inlineStr">
        <is>
          <t>Centre</t>
        </is>
      </c>
      <c r="F11" t="inlineStr">
        <is>
          <t>+226 75 67 28 59 91</t>
        </is>
      </c>
      <c r="H11" t="inlineStr">
        <is>
          <t>2024-10-22</t>
        </is>
      </c>
      <c r="I11" t="inlineStr">
        <is>
          <t>Or</t>
        </is>
      </c>
      <c r="J11" t="inlineStr">
        <is>
          <t>Comptant</t>
        </is>
      </c>
      <c r="K11" t="n">
        <v>1500000</v>
      </c>
    </row>
    <row r="12">
      <c r="A12" t="n">
        <v>756</v>
      </c>
      <c r="B12" t="inlineStr">
        <is>
          <t>Chantiers d</t>
        </is>
      </c>
      <c r="C12" t="inlineStr">
        <is>
          <t>Professionnel</t>
        </is>
      </c>
      <c r="D12" t="inlineStr">
        <is>
          <t>Ouagadougou</t>
        </is>
      </c>
      <c r="E12" t="inlineStr">
        <is>
          <t>Centre</t>
        </is>
      </c>
      <c r="F12" t="inlineStr">
        <is>
          <t>+226 74 30 29 17 11</t>
        </is>
      </c>
      <c r="G12" t="inlineStr">
        <is>
          <t>contact756@entreprise.bf</t>
        </is>
      </c>
      <c r="H12" t="inlineStr">
        <is>
          <t>2016-08-30</t>
        </is>
      </c>
      <c r="I12" t="inlineStr">
        <is>
          <t>Standard</t>
        </is>
      </c>
      <c r="J12" t="inlineStr">
        <is>
          <t>Comptant</t>
        </is>
      </c>
      <c r="K12" t="n">
        <v>0</v>
      </c>
    </row>
    <row r="13">
      <c r="A13" t="n">
        <v>883</v>
      </c>
      <c r="B13" t="inlineStr">
        <is>
          <t>Menage 00883</t>
        </is>
      </c>
      <c r="C13" t="inlineStr">
        <is>
          <t>Particulier</t>
        </is>
      </c>
      <c r="D13" t="inlineStr">
        <is>
          <t>Ziniaré</t>
        </is>
      </c>
      <c r="E13" t="inlineStr">
        <is>
          <t>Plateau-Central</t>
        </is>
      </c>
      <c r="F13" t="inlineStr">
        <is>
          <t>+226 72 83 12 97 41</t>
        </is>
      </c>
      <c r="H13" t="inlineStr">
        <is>
          <t>2016-01-07</t>
        </is>
      </c>
      <c r="I13" t="inlineStr">
        <is>
          <t>Standard</t>
        </is>
      </c>
      <c r="J13" t="inlineStr">
        <is>
          <t>Comptant</t>
        </is>
      </c>
      <c r="K13" t="n">
        <v>0</v>
      </c>
    </row>
    <row r="14">
      <c r="A14" t="n">
        <v>984</v>
      </c>
      <c r="B14" t="inlineStr">
        <is>
          <t>Ets B</t>
        </is>
      </c>
      <c r="C14" t="inlineStr">
        <is>
          <t>Entreprise</t>
        </is>
      </c>
      <c r="D14" t="inlineStr">
        <is>
          <t>Ouagadougou</t>
        </is>
      </c>
      <c r="E14" t="inlineStr">
        <is>
          <t>Centre</t>
        </is>
      </c>
      <c r="F14" t="inlineStr">
        <is>
          <t>+226 71 73 97 10 77</t>
        </is>
      </c>
      <c r="G14" t="inlineStr">
        <is>
          <t>contact984@yahoo.fr</t>
        </is>
      </c>
      <c r="H14" t="inlineStr">
        <is>
          <t>2018-02-25</t>
        </is>
      </c>
      <c r="I14" t="inlineStr">
        <is>
          <t>Argent</t>
        </is>
      </c>
      <c r="J14" t="inlineStr">
        <is>
          <t>30 j</t>
        </is>
      </c>
      <c r="K14" t="n">
        <v>0</v>
      </c>
    </row>
    <row r="15">
      <c r="A15" t="n">
        <v>1056</v>
      </c>
      <c r="B15" t="inlineStr">
        <is>
          <t>Ets T</t>
        </is>
      </c>
      <c r="C15" t="inlineStr">
        <is>
          <t>Administration</t>
        </is>
      </c>
      <c r="D15" t="inlineStr">
        <is>
          <t>Ouagadougou</t>
        </is>
      </c>
      <c r="E15" t="inlineStr">
        <is>
          <t>Centre</t>
        </is>
      </c>
      <c r="F15" t="inlineStr">
        <is>
          <t>+226 73 79 65 73 74</t>
        </is>
      </c>
      <c r="H15" t="inlineStr">
        <is>
          <t>2023-05-01</t>
        </is>
      </c>
      <c r="I15" t="inlineStr">
        <is>
          <t>Standard</t>
        </is>
      </c>
      <c r="J15" t="inlineStr">
        <is>
          <t>Comptant</t>
        </is>
      </c>
      <c r="K15" t="n">
        <v>0</v>
      </c>
    </row>
    <row r="16">
      <c r="A16" t="n">
        <v>1117</v>
      </c>
      <c r="B16" t="inlineStr">
        <is>
          <t>Menage 01117</t>
        </is>
      </c>
      <c r="C16" t="inlineStr">
        <is>
          <t>Particulier</t>
        </is>
      </c>
      <c r="D16" t="inlineStr">
        <is>
          <t>Kaya</t>
        </is>
      </c>
      <c r="E16" t="inlineStr">
        <is>
          <t>Centre-Nord</t>
        </is>
      </c>
      <c r="F16" t="inlineStr">
        <is>
          <t>+226 75 34 21 77 74</t>
        </is>
      </c>
      <c r="H16" t="inlineStr">
        <is>
          <t>2018-02-09</t>
        </is>
      </c>
      <c r="I16" t="inlineStr">
        <is>
          <t>Argent</t>
        </is>
      </c>
      <c r="J16" t="inlineStr">
        <is>
          <t>30 j</t>
        </is>
      </c>
      <c r="K16" t="n">
        <v>1500000</v>
      </c>
    </row>
    <row r="17">
      <c r="A17" t="n">
        <v>1144</v>
      </c>
      <c r="B17" t="inlineStr">
        <is>
          <t>Menage 01144</t>
        </is>
      </c>
      <c r="C17" t="inlineStr">
        <is>
          <t>Particulier</t>
        </is>
      </c>
      <c r="D17" t="inlineStr">
        <is>
          <t>Ouagadougou</t>
        </is>
      </c>
      <c r="E17" t="inlineStr">
        <is>
          <t>Centre</t>
        </is>
      </c>
      <c r="F17" t="inlineStr">
        <is>
          <t>+226 70 74 56 21 36</t>
        </is>
      </c>
      <c r="H17" t="inlineStr">
        <is>
          <t>2024-08-19</t>
        </is>
      </c>
      <c r="I17" t="inlineStr">
        <is>
          <t>Argent</t>
        </is>
      </c>
      <c r="J17" t="inlineStr">
        <is>
          <t>30 j</t>
        </is>
      </c>
      <c r="K17" t="n">
        <v>0</v>
      </c>
    </row>
    <row r="18">
      <c r="A18" t="n">
        <v>1242</v>
      </c>
      <c r="B18" t="inlineStr">
        <is>
          <t>Menage 01242</t>
        </is>
      </c>
      <c r="C18" t="inlineStr">
        <is>
          <t>Particulier</t>
        </is>
      </c>
      <c r="D18" t="inlineStr">
        <is>
          <t>Kaya</t>
        </is>
      </c>
      <c r="E18" t="inlineStr">
        <is>
          <t>Centre-Nord</t>
        </is>
      </c>
      <c r="F18" t="inlineStr">
        <is>
          <t>+226 76 76 90 49 66</t>
        </is>
      </c>
      <c r="H18" t="inlineStr">
        <is>
          <t>2021-05-16</t>
        </is>
      </c>
      <c r="I18" t="inlineStr">
        <is>
          <t>Argent</t>
        </is>
      </c>
      <c r="J18" t="inlineStr">
        <is>
          <t>Comptant</t>
        </is>
      </c>
      <c r="K18" t="n">
        <v>1500000</v>
      </c>
    </row>
    <row r="19">
      <c r="A19" t="n">
        <v>1357</v>
      </c>
      <c r="B19" t="inlineStr">
        <is>
          <t>Menage 01357</t>
        </is>
      </c>
      <c r="C19" t="inlineStr">
        <is>
          <t>Particulier</t>
        </is>
      </c>
      <c r="D19" t="inlineStr">
        <is>
          <t>Bobo-Dioulasso</t>
        </is>
      </c>
      <c r="E19" t="inlineStr">
        <is>
          <t>Hauts-Bassins</t>
        </is>
      </c>
      <c r="F19" t="inlineStr">
        <is>
          <t>+226 78 46 29 79 29</t>
        </is>
      </c>
      <c r="H19" t="inlineStr">
        <is>
          <t>2019-08-23</t>
        </is>
      </c>
      <c r="I19" t="inlineStr">
        <is>
          <t>Standard</t>
        </is>
      </c>
      <c r="J19" t="inlineStr">
        <is>
          <t>Comptant</t>
        </is>
      </c>
      <c r="K19" t="n">
        <v>250000</v>
      </c>
    </row>
    <row r="20">
      <c r="A20" t="n">
        <v>1359</v>
      </c>
      <c r="B20" t="inlineStr">
        <is>
          <t>Menage 01359</t>
        </is>
      </c>
      <c r="C20" t="inlineStr">
        <is>
          <t>Particulier</t>
        </is>
      </c>
      <c r="D20" t="inlineStr">
        <is>
          <t>Ouagadougou</t>
        </is>
      </c>
      <c r="E20" t="inlineStr">
        <is>
          <t>Centre</t>
        </is>
      </c>
      <c r="F20" t="inlineStr">
        <is>
          <t>+226 70 73 77 42 18</t>
        </is>
      </c>
      <c r="H20" t="inlineStr">
        <is>
          <t>2016-12-08</t>
        </is>
      </c>
      <c r="I20" t="inlineStr">
        <is>
          <t>Standard</t>
        </is>
      </c>
      <c r="J20" t="inlineStr">
        <is>
          <t>60 j</t>
        </is>
      </c>
      <c r="K20" t="n">
        <v>1500000</v>
      </c>
    </row>
    <row r="21">
      <c r="A21" t="n">
        <v>1374</v>
      </c>
      <c r="B21" t="inlineStr">
        <is>
          <t>Menage 01374</t>
        </is>
      </c>
      <c r="C21" t="inlineStr">
        <is>
          <t>Particulier</t>
        </is>
      </c>
      <c r="D21" t="inlineStr">
        <is>
          <t>Koudougou</t>
        </is>
      </c>
      <c r="E21" t="inlineStr">
        <is>
          <t>Centre-Ouest</t>
        </is>
      </c>
      <c r="F21" t="inlineStr">
        <is>
          <t>+226 72 78 11 29 47</t>
        </is>
      </c>
      <c r="H21" t="inlineStr">
        <is>
          <t>2018-03-04</t>
        </is>
      </c>
      <c r="I21" t="inlineStr">
        <is>
          <t>Standard</t>
        </is>
      </c>
      <c r="J21" t="inlineStr">
        <is>
          <t>30 j</t>
        </is>
      </c>
      <c r="K21" t="n">
        <v>500000</v>
      </c>
    </row>
    <row r="22">
      <c r="A22" t="n">
        <v>1455</v>
      </c>
      <c r="B22" t="inlineStr">
        <is>
          <t>Menage 01455</t>
        </is>
      </c>
      <c r="C22" t="inlineStr">
        <is>
          <t>Particulier</t>
        </is>
      </c>
      <c r="D22" t="inlineStr">
        <is>
          <t>Bobo-Dioulasso</t>
        </is>
      </c>
      <c r="E22" t="inlineStr">
        <is>
          <t>Hauts-Bassins</t>
        </is>
      </c>
      <c r="F22" t="inlineStr">
        <is>
          <t>+226 70 31 23 16 71</t>
        </is>
      </c>
      <c r="H22" t="inlineStr">
        <is>
          <t>2023-11-24</t>
        </is>
      </c>
      <c r="I22" t="inlineStr">
        <is>
          <t>Standard</t>
        </is>
      </c>
      <c r="J22" t="inlineStr">
        <is>
          <t>Comptant</t>
        </is>
      </c>
      <c r="K22" t="n">
        <v>500000</v>
      </c>
    </row>
    <row r="23">
      <c r="A23" t="n">
        <v>1462</v>
      </c>
      <c r="B23" t="inlineStr">
        <is>
          <t>Menage 01462</t>
        </is>
      </c>
      <c r="C23" t="inlineStr">
        <is>
          <t>Particulier</t>
        </is>
      </c>
      <c r="D23" t="inlineStr">
        <is>
          <t>Bobo-Dioulasso</t>
        </is>
      </c>
      <c r="E23" t="inlineStr">
        <is>
          <t>Hauts-Bassins</t>
        </is>
      </c>
      <c r="F23" t="inlineStr">
        <is>
          <t>+226 72 19 36 45 64</t>
        </is>
      </c>
      <c r="H23" t="inlineStr">
        <is>
          <t>2016-02-08</t>
        </is>
      </c>
      <c r="I23" t="inlineStr">
        <is>
          <t>Standard</t>
        </is>
      </c>
      <c r="J23" t="inlineStr">
        <is>
          <t>Comptant</t>
        </is>
      </c>
      <c r="K23" t="n">
        <v>0</v>
      </c>
    </row>
    <row r="24">
      <c r="A24" t="n">
        <v>1469</v>
      </c>
      <c r="B24" t="inlineStr">
        <is>
          <t>Menage 01469</t>
        </is>
      </c>
      <c r="C24" t="inlineStr">
        <is>
          <t>Particulier</t>
        </is>
      </c>
      <c r="D24" t="inlineStr">
        <is>
          <t>Bobo-Dioulasso</t>
        </is>
      </c>
      <c r="E24" t="inlineStr">
        <is>
          <t>Hauts-Bassins</t>
        </is>
      </c>
      <c r="F24" t="inlineStr">
        <is>
          <t>+226 76 87 26 32 64</t>
        </is>
      </c>
      <c r="H24" t="inlineStr">
        <is>
          <t>2025-10-14</t>
        </is>
      </c>
      <c r="I24" t="inlineStr">
        <is>
          <t>Standard</t>
        </is>
      </c>
      <c r="J24" t="inlineStr">
        <is>
          <t>30 j</t>
        </is>
      </c>
      <c r="K24" t="n">
        <v>1500000</v>
      </c>
    </row>
    <row r="25">
      <c r="A25" t="n">
        <v>1472</v>
      </c>
      <c r="B25" t="inlineStr">
        <is>
          <t>Chantiers o</t>
        </is>
      </c>
      <c r="C25" t="inlineStr">
        <is>
          <t>Professionnel</t>
        </is>
      </c>
      <c r="D25" t="inlineStr">
        <is>
          <t>Bobo-Dioulasso</t>
        </is>
      </c>
      <c r="E25" t="inlineStr">
        <is>
          <t>Hauts-Bassins</t>
        </is>
      </c>
      <c r="F25" t="inlineStr">
        <is>
          <t>+226 71 32 10 75 74</t>
        </is>
      </c>
      <c r="G25" t="inlineStr">
        <is>
          <t>contact1472@gmail.com</t>
        </is>
      </c>
      <c r="H25" t="inlineStr">
        <is>
          <t>2022-07-27</t>
        </is>
      </c>
      <c r="I25" t="inlineStr">
        <is>
          <t>Standard</t>
        </is>
      </c>
      <c r="J25" t="inlineStr">
        <is>
          <t>Comptant</t>
        </is>
      </c>
      <c r="K25" t="n">
        <v>1500000</v>
      </c>
    </row>
    <row r="26">
      <c r="A26" t="n">
        <v>1508</v>
      </c>
      <c r="B26" t="inlineStr">
        <is>
          <t>Menage 01508</t>
        </is>
      </c>
      <c r="C26" t="inlineStr">
        <is>
          <t>Particulier</t>
        </is>
      </c>
      <c r="D26" t="inlineStr">
        <is>
          <t>Bobo-Dioulasso</t>
        </is>
      </c>
      <c r="E26" t="inlineStr">
        <is>
          <t>Hauts-Bassins</t>
        </is>
      </c>
      <c r="F26" t="inlineStr">
        <is>
          <t>+226 79 30 85 61 89</t>
        </is>
      </c>
      <c r="H26" t="inlineStr">
        <is>
          <t>2021-01-23</t>
        </is>
      </c>
      <c r="I26" t="inlineStr">
        <is>
          <t>Standard</t>
        </is>
      </c>
      <c r="J26" t="inlineStr">
        <is>
          <t>Comptant</t>
        </is>
      </c>
      <c r="K26" t="n">
        <v>0</v>
      </c>
    </row>
    <row r="27">
      <c r="A27" t="n">
        <v>1519</v>
      </c>
      <c r="B27" t="inlineStr">
        <is>
          <t>Menage 01519</t>
        </is>
      </c>
      <c r="C27" t="inlineStr">
        <is>
          <t>Particulier</t>
        </is>
      </c>
      <c r="D27" t="inlineStr">
        <is>
          <t>Ouagadougou</t>
        </is>
      </c>
      <c r="E27" t="inlineStr">
        <is>
          <t>Centre</t>
        </is>
      </c>
      <c r="F27" t="inlineStr">
        <is>
          <t>+226 76 29 34 40 89</t>
        </is>
      </c>
      <c r="H27" t="inlineStr">
        <is>
          <t>2017-03-16</t>
        </is>
      </c>
      <c r="I27" t="inlineStr">
        <is>
          <t>Argent</t>
        </is>
      </c>
      <c r="J27" t="inlineStr">
        <is>
          <t>Comptant</t>
        </is>
      </c>
      <c r="K27" t="n">
        <v>0</v>
      </c>
    </row>
    <row r="28">
      <c r="A28" t="n">
        <v>1616</v>
      </c>
      <c r="B28" t="inlineStr">
        <is>
          <t>Ets K</t>
        </is>
      </c>
      <c r="C28" t="inlineStr">
        <is>
          <t>Entreprise</t>
        </is>
      </c>
      <c r="D28" t="inlineStr">
        <is>
          <t>Bobo-Dioulasso</t>
        </is>
      </c>
      <c r="E28" t="inlineStr">
        <is>
          <t>Hauts-Bassins</t>
        </is>
      </c>
      <c r="F28" t="inlineStr">
        <is>
          <t>+226 77 86 70 24 80</t>
        </is>
      </c>
      <c r="H28" t="inlineStr">
        <is>
          <t>2019-02-15</t>
        </is>
      </c>
      <c r="I28" t="inlineStr">
        <is>
          <t>Argent</t>
        </is>
      </c>
      <c r="J28" t="inlineStr">
        <is>
          <t>Comptant</t>
        </is>
      </c>
      <c r="K28" t="n">
        <v>250000</v>
      </c>
    </row>
    <row r="29">
      <c r="A29" t="n">
        <v>1635</v>
      </c>
      <c r="B29" t="inlineStr">
        <is>
          <t>Menage 01635</t>
        </is>
      </c>
      <c r="C29" t="inlineStr">
        <is>
          <t>Particulier</t>
        </is>
      </c>
      <c r="D29" t="inlineStr">
        <is>
          <t>Ouagadougou</t>
        </is>
      </c>
      <c r="E29" t="inlineStr">
        <is>
          <t>Centre</t>
        </is>
      </c>
      <c r="F29" t="inlineStr">
        <is>
          <t>+226 76 10 93 37 37</t>
        </is>
      </c>
      <c r="H29" t="inlineStr">
        <is>
          <t>2017-06-17</t>
        </is>
      </c>
      <c r="I29" t="inlineStr">
        <is>
          <t>Argent</t>
        </is>
      </c>
      <c r="J29" t="inlineStr">
        <is>
          <t>60 j</t>
        </is>
      </c>
      <c r="K29" t="n">
        <v>5000000</v>
      </c>
    </row>
    <row r="30">
      <c r="A30" t="n">
        <v>1690</v>
      </c>
      <c r="B30" t="inlineStr">
        <is>
          <t>Menage 01690</t>
        </is>
      </c>
      <c r="C30" t="inlineStr">
        <is>
          <t>Particulier</t>
        </is>
      </c>
      <c r="D30" t="inlineStr">
        <is>
          <t>Ouagadougou</t>
        </is>
      </c>
      <c r="E30" t="inlineStr">
        <is>
          <t>Centre</t>
        </is>
      </c>
      <c r="F30" t="inlineStr">
        <is>
          <t>+226 75 50 26 72 87</t>
        </is>
      </c>
      <c r="H30" t="inlineStr">
        <is>
          <t>2019-09-03</t>
        </is>
      </c>
      <c r="I30" t="inlineStr">
        <is>
          <t>Or</t>
        </is>
      </c>
      <c r="J30" t="inlineStr">
        <is>
          <t>Comptant</t>
        </is>
      </c>
      <c r="K30" t="n">
        <v>1500000</v>
      </c>
    </row>
    <row r="31">
      <c r="A31" t="n">
        <v>1716</v>
      </c>
      <c r="B31" t="inlineStr">
        <is>
          <t>Societe i</t>
        </is>
      </c>
      <c r="C31" t="inlineStr">
        <is>
          <t>Professionnel</t>
        </is>
      </c>
      <c r="D31" t="inlineStr">
        <is>
          <t>Ziniaré</t>
        </is>
      </c>
      <c r="E31" t="inlineStr">
        <is>
          <t>Plateau-Central</t>
        </is>
      </c>
      <c r="F31" t="inlineStr">
        <is>
          <t>+226 75 99 19 68 56</t>
        </is>
      </c>
      <c r="G31" t="inlineStr">
        <is>
          <t>contact1716@entreprise.bf</t>
        </is>
      </c>
      <c r="H31" t="inlineStr">
        <is>
          <t>2021-05-14</t>
        </is>
      </c>
      <c r="I31" t="inlineStr">
        <is>
          <t>Standard</t>
        </is>
      </c>
      <c r="J31" t="inlineStr">
        <is>
          <t>Comptant</t>
        </is>
      </c>
      <c r="K31" t="n">
        <v>0</v>
      </c>
    </row>
    <row r="32">
      <c r="A32" t="n">
        <v>1796</v>
      </c>
      <c r="B32" t="inlineStr">
        <is>
          <t>Societe o</t>
        </is>
      </c>
      <c r="C32" t="inlineStr">
        <is>
          <t>Entreprise</t>
        </is>
      </c>
      <c r="D32" t="inlineStr">
        <is>
          <t>Ouagadougou</t>
        </is>
      </c>
      <c r="E32" t="inlineStr">
        <is>
          <t>Centre</t>
        </is>
      </c>
      <c r="F32" t="inlineStr">
        <is>
          <t>+226 75 13 46 56 40</t>
        </is>
      </c>
      <c r="G32" t="inlineStr">
        <is>
          <t>contact1796@gmail.com</t>
        </is>
      </c>
      <c r="H32" t="inlineStr">
        <is>
          <t>2024-09-17</t>
        </is>
      </c>
      <c r="I32" t="inlineStr">
        <is>
          <t>Argent</t>
        </is>
      </c>
      <c r="J32" t="inlineStr">
        <is>
          <t>Comptant</t>
        </is>
      </c>
      <c r="K32" t="n">
        <v>0</v>
      </c>
    </row>
    <row r="33">
      <c r="A33" t="n">
        <v>1854</v>
      </c>
      <c r="B33" t="inlineStr">
        <is>
          <t>Menage 01854</t>
        </is>
      </c>
      <c r="C33" t="inlineStr">
        <is>
          <t>Particulier</t>
        </is>
      </c>
      <c r="D33" t="inlineStr">
        <is>
          <t>Koudougou</t>
        </is>
      </c>
      <c r="E33" t="inlineStr">
        <is>
          <t>Centre-Ouest</t>
        </is>
      </c>
      <c r="F33" t="inlineStr">
        <is>
          <t>+226 70 91 13 31 26</t>
        </is>
      </c>
      <c r="H33" t="inlineStr">
        <is>
          <t>2024-04-04</t>
        </is>
      </c>
      <c r="I33" t="inlineStr">
        <is>
          <t>Standard</t>
        </is>
      </c>
      <c r="J33" t="inlineStr">
        <is>
          <t>Comptant</t>
        </is>
      </c>
      <c r="K33" t="n">
        <v>1500000</v>
      </c>
    </row>
    <row r="34">
      <c r="A34" t="n">
        <v>1934</v>
      </c>
      <c r="B34" t="inlineStr">
        <is>
          <t>Chantiers b</t>
        </is>
      </c>
      <c r="C34" t="inlineStr">
        <is>
          <t>Professionnel</t>
        </is>
      </c>
      <c r="D34" t="inlineStr">
        <is>
          <t>Kaya</t>
        </is>
      </c>
      <c r="E34" t="inlineStr">
        <is>
          <t>Centre-Nord</t>
        </is>
      </c>
      <c r="F34" t="inlineStr">
        <is>
          <t>+226 70 32 99 64 82</t>
        </is>
      </c>
      <c r="H34" t="inlineStr">
        <is>
          <t>2023-05-06</t>
        </is>
      </c>
      <c r="I34" t="inlineStr">
        <is>
          <t>Argent</t>
        </is>
      </c>
      <c r="J34" t="inlineStr">
        <is>
          <t>Comptant</t>
        </is>
      </c>
      <c r="K34" t="n">
        <v>0</v>
      </c>
    </row>
    <row r="35">
      <c r="A35" t="n">
        <v>2149</v>
      </c>
      <c r="B35" t="inlineStr">
        <is>
          <t>Menage 02149</t>
        </is>
      </c>
      <c r="C35" t="inlineStr">
        <is>
          <t>Particulier</t>
        </is>
      </c>
      <c r="D35" t="inlineStr">
        <is>
          <t>Bobo-Dioulasso</t>
        </is>
      </c>
      <c r="E35" t="inlineStr">
        <is>
          <t>Hauts-Bassins</t>
        </is>
      </c>
      <c r="F35" t="inlineStr">
        <is>
          <t>+226 70 91 14 10 84</t>
        </is>
      </c>
      <c r="H35" t="inlineStr">
        <is>
          <t>2020-09-27</t>
        </is>
      </c>
      <c r="I35" t="inlineStr">
        <is>
          <t>Standard</t>
        </is>
      </c>
      <c r="J35" t="inlineStr">
        <is>
          <t>Comptant</t>
        </is>
      </c>
      <c r="K35" t="n">
        <v>0</v>
      </c>
    </row>
    <row r="36">
      <c r="A36" t="n">
        <v>2150</v>
      </c>
      <c r="B36" t="inlineStr">
        <is>
          <t>Chantiers r</t>
        </is>
      </c>
      <c r="C36" t="inlineStr">
        <is>
          <t>Professionnel</t>
        </is>
      </c>
      <c r="D36" t="inlineStr">
        <is>
          <t>Kaya</t>
        </is>
      </c>
      <c r="E36" t="inlineStr">
        <is>
          <t>Centre-Nord</t>
        </is>
      </c>
      <c r="F36" t="inlineStr">
        <is>
          <t>+226 71 68 16 18 32</t>
        </is>
      </c>
      <c r="G36" t="inlineStr">
        <is>
          <t>contact2150@outlook.fr</t>
        </is>
      </c>
      <c r="H36" t="inlineStr">
        <is>
          <t>2023-11-14</t>
        </is>
      </c>
      <c r="I36" t="inlineStr">
        <is>
          <t>Standard</t>
        </is>
      </c>
      <c r="J36" t="inlineStr">
        <is>
          <t>30 j</t>
        </is>
      </c>
      <c r="K36" t="n">
        <v>0</v>
      </c>
    </row>
    <row r="37">
      <c r="A37" t="n">
        <v>2178</v>
      </c>
      <c r="B37" t="inlineStr">
        <is>
          <t>SARL O</t>
        </is>
      </c>
      <c r="C37" t="inlineStr">
        <is>
          <t>Entreprise</t>
        </is>
      </c>
      <c r="D37" t="inlineStr">
        <is>
          <t>Ouagadougou</t>
        </is>
      </c>
      <c r="E37" t="inlineStr">
        <is>
          <t>Centre</t>
        </is>
      </c>
      <c r="F37" t="inlineStr">
        <is>
          <t>+226 72 11 97 90 22</t>
        </is>
      </c>
      <c r="H37" t="inlineStr">
        <is>
          <t>2021-06-02</t>
        </is>
      </c>
      <c r="I37" t="inlineStr">
        <is>
          <t>Argent</t>
        </is>
      </c>
      <c r="J37" t="inlineStr">
        <is>
          <t>Comptant</t>
        </is>
      </c>
      <c r="K37" t="n">
        <v>250000</v>
      </c>
    </row>
    <row r="38">
      <c r="A38" t="n">
        <v>2275</v>
      </c>
      <c r="B38" t="inlineStr">
        <is>
          <t>Menage 02275</t>
        </is>
      </c>
      <c r="C38" t="inlineStr">
        <is>
          <t>Particulier</t>
        </is>
      </c>
      <c r="D38" t="inlineStr">
        <is>
          <t>Bobo-Dioulasso</t>
        </is>
      </c>
      <c r="E38" t="inlineStr">
        <is>
          <t>Hauts-Bassins</t>
        </is>
      </c>
      <c r="F38" t="inlineStr">
        <is>
          <t>+226 71 67 82 74 64</t>
        </is>
      </c>
      <c r="H38" t="inlineStr">
        <is>
          <t>2016-01-02</t>
        </is>
      </c>
      <c r="I38" t="inlineStr">
        <is>
          <t>Standard</t>
        </is>
      </c>
      <c r="J38" t="inlineStr">
        <is>
          <t>30 j</t>
        </is>
      </c>
      <c r="K38" t="n">
        <v>500000</v>
      </c>
    </row>
    <row r="39">
      <c r="A39" t="n">
        <v>2296</v>
      </c>
      <c r="B39" t="inlineStr">
        <is>
          <t>SARL p</t>
        </is>
      </c>
      <c r="C39" t="inlineStr">
        <is>
          <t>Professionnel</t>
        </is>
      </c>
      <c r="D39" t="inlineStr">
        <is>
          <t>Ziniaré</t>
        </is>
      </c>
      <c r="E39" t="inlineStr">
        <is>
          <t>Plateau-Central</t>
        </is>
      </c>
      <c r="F39" t="inlineStr">
        <is>
          <t>+226 75 39 79 92 52</t>
        </is>
      </c>
      <c r="H39" t="inlineStr">
        <is>
          <t>2020-09-14</t>
        </is>
      </c>
      <c r="I39" t="inlineStr">
        <is>
          <t>Standard</t>
        </is>
      </c>
      <c r="J39" t="inlineStr">
        <is>
          <t>60 j</t>
        </is>
      </c>
      <c r="K39" t="n">
        <v>1500000</v>
      </c>
    </row>
    <row r="40">
      <c r="A40" t="n">
        <v>2446</v>
      </c>
      <c r="B40" t="inlineStr">
        <is>
          <t>Menage 02446</t>
        </is>
      </c>
      <c r="C40" t="inlineStr">
        <is>
          <t>Particulier</t>
        </is>
      </c>
      <c r="D40" t="inlineStr">
        <is>
          <t>Kaya</t>
        </is>
      </c>
      <c r="E40" t="inlineStr">
        <is>
          <t>Centre-Nord</t>
        </is>
      </c>
      <c r="F40" t="inlineStr">
        <is>
          <t>+226 72 86 99 51 84</t>
        </is>
      </c>
      <c r="H40" t="inlineStr">
        <is>
          <t>2016-07-01</t>
        </is>
      </c>
      <c r="I40" t="inlineStr">
        <is>
          <t>Standard</t>
        </is>
      </c>
      <c r="J40" t="inlineStr">
        <is>
          <t>30 j</t>
        </is>
      </c>
      <c r="K40" t="n">
        <v>250000</v>
      </c>
    </row>
    <row r="41">
      <c r="A41" t="n">
        <v>2474</v>
      </c>
      <c r="B41" t="inlineStr">
        <is>
          <t>SARL u</t>
        </is>
      </c>
      <c r="C41" t="inlineStr">
        <is>
          <t>Professionnel</t>
        </is>
      </c>
      <c r="D41" t="inlineStr">
        <is>
          <t>Kaya</t>
        </is>
      </c>
      <c r="E41" t="inlineStr">
        <is>
          <t>Centre-Nord</t>
        </is>
      </c>
      <c r="F41" t="inlineStr">
        <is>
          <t>+226 72 67 87 56 70</t>
        </is>
      </c>
      <c r="G41" t="inlineStr">
        <is>
          <t>contact2474@entreprise.bf</t>
        </is>
      </c>
      <c r="H41" t="inlineStr">
        <is>
          <t>2020-01-19</t>
        </is>
      </c>
      <c r="I41" t="inlineStr">
        <is>
          <t>Argent</t>
        </is>
      </c>
      <c r="J41" t="inlineStr">
        <is>
          <t>Comptant</t>
        </is>
      </c>
      <c r="K41" t="n">
        <v>250000</v>
      </c>
    </row>
    <row r="42">
      <c r="A42" t="n">
        <v>2526</v>
      </c>
      <c r="B42" t="inlineStr">
        <is>
          <t>SARL u</t>
        </is>
      </c>
      <c r="C42" t="inlineStr">
        <is>
          <t>Professionnel</t>
        </is>
      </c>
      <c r="D42" t="inlineStr">
        <is>
          <t>Bobo-Dioulasso</t>
        </is>
      </c>
      <c r="E42" t="inlineStr">
        <is>
          <t>Hauts-Bassins</t>
        </is>
      </c>
      <c r="F42" t="inlineStr">
        <is>
          <t>+226 78 26 72 36 69</t>
        </is>
      </c>
      <c r="G42" t="inlineStr">
        <is>
          <t>contact2526@entreprise.bf</t>
        </is>
      </c>
      <c r="H42" t="inlineStr">
        <is>
          <t>2020-04-17</t>
        </is>
      </c>
      <c r="I42" t="inlineStr">
        <is>
          <t>Standard</t>
        </is>
      </c>
      <c r="J42" t="inlineStr">
        <is>
          <t>Comptant</t>
        </is>
      </c>
      <c r="K42" t="n">
        <v>0</v>
      </c>
    </row>
    <row r="43">
      <c r="A43" t="n">
        <v>2656</v>
      </c>
      <c r="B43" t="inlineStr">
        <is>
          <t>Menage 02656</t>
        </is>
      </c>
      <c r="C43" t="inlineStr">
        <is>
          <t>Particulier</t>
        </is>
      </c>
      <c r="D43" t="inlineStr">
        <is>
          <t>Ouagadougou</t>
        </is>
      </c>
      <c r="E43" t="inlineStr">
        <is>
          <t>Centre</t>
        </is>
      </c>
      <c r="F43" t="inlineStr">
        <is>
          <t>+226 72 40 22 97 85</t>
        </is>
      </c>
      <c r="H43" t="inlineStr">
        <is>
          <t>2026-02-21</t>
        </is>
      </c>
      <c r="I43" t="inlineStr">
        <is>
          <t>Argent</t>
        </is>
      </c>
      <c r="J43" t="inlineStr">
        <is>
          <t>Comptant</t>
        </is>
      </c>
      <c r="K43" t="n">
        <v>0</v>
      </c>
    </row>
    <row r="44">
      <c r="A44" t="n">
        <v>2661</v>
      </c>
      <c r="B44" t="inlineStr">
        <is>
          <t>Ets r</t>
        </is>
      </c>
      <c r="C44" t="inlineStr">
        <is>
          <t>Entreprise</t>
        </is>
      </c>
      <c r="D44" t="inlineStr">
        <is>
          <t>Bobo-Dioulasso</t>
        </is>
      </c>
      <c r="E44" t="inlineStr">
        <is>
          <t>Hauts-Bassins</t>
        </is>
      </c>
      <c r="F44" t="inlineStr">
        <is>
          <t>+226 79 45 89 97 81</t>
        </is>
      </c>
      <c r="G44" t="inlineStr">
        <is>
          <t>contact2661@entreprise.bf</t>
        </is>
      </c>
      <c r="H44" t="inlineStr">
        <is>
          <t>2020-03-19</t>
        </is>
      </c>
      <c r="I44" t="inlineStr">
        <is>
          <t>Standard</t>
        </is>
      </c>
      <c r="J44" t="inlineStr">
        <is>
          <t>Comptant</t>
        </is>
      </c>
      <c r="K44" t="n">
        <v>0</v>
      </c>
    </row>
    <row r="45">
      <c r="A45" t="n">
        <v>2691</v>
      </c>
      <c r="B45" t="inlineStr">
        <is>
          <t>Menage 02691</t>
        </is>
      </c>
      <c r="C45" t="inlineStr">
        <is>
          <t>Particulier</t>
        </is>
      </c>
      <c r="D45" t="inlineStr">
        <is>
          <t>Ziniaré</t>
        </is>
      </c>
      <c r="E45" t="inlineStr">
        <is>
          <t>Plateau-Central</t>
        </is>
      </c>
      <c r="F45" t="inlineStr">
        <is>
          <t>+226 76 71 71 94 90</t>
        </is>
      </c>
      <c r="H45" t="inlineStr">
        <is>
          <t>2020-07-23</t>
        </is>
      </c>
      <c r="I45" t="inlineStr">
        <is>
          <t>Argent</t>
        </is>
      </c>
      <c r="J45" t="inlineStr">
        <is>
          <t>60 j</t>
        </is>
      </c>
      <c r="K45" t="n">
        <v>500000</v>
      </c>
    </row>
    <row r="46">
      <c r="A46" t="n">
        <v>2778</v>
      </c>
      <c r="B46" t="inlineStr">
        <is>
          <t>Ets o</t>
        </is>
      </c>
      <c r="C46" t="inlineStr">
        <is>
          <t>Professionnel</t>
        </is>
      </c>
      <c r="D46" t="inlineStr">
        <is>
          <t>Ouagadougou</t>
        </is>
      </c>
      <c r="E46" t="inlineStr">
        <is>
          <t>Centre</t>
        </is>
      </c>
      <c r="F46" t="inlineStr">
        <is>
          <t>+226 78 52 45 47 16</t>
        </is>
      </c>
      <c r="H46" t="inlineStr">
        <is>
          <t>2016-10-16</t>
        </is>
      </c>
      <c r="I46" t="inlineStr">
        <is>
          <t>Standard</t>
        </is>
      </c>
      <c r="J46" t="inlineStr">
        <is>
          <t>Comptant</t>
        </is>
      </c>
      <c r="K46" t="n">
        <v>0</v>
      </c>
    </row>
    <row r="47">
      <c r="A47" t="n">
        <v>2883</v>
      </c>
      <c r="B47" t="inlineStr">
        <is>
          <t>Menage 02883</t>
        </is>
      </c>
      <c r="C47" t="inlineStr">
        <is>
          <t>Particulier</t>
        </is>
      </c>
      <c r="D47" t="inlineStr">
        <is>
          <t>Ouagadougou</t>
        </is>
      </c>
      <c r="E47" t="inlineStr">
        <is>
          <t>Centre</t>
        </is>
      </c>
      <c r="F47" t="inlineStr">
        <is>
          <t>+226 74 32 50 81 75</t>
        </is>
      </c>
      <c r="H47" t="inlineStr">
        <is>
          <t>2022-05-21</t>
        </is>
      </c>
      <c r="I47" t="inlineStr">
        <is>
          <t>Or</t>
        </is>
      </c>
      <c r="J47" t="inlineStr">
        <is>
          <t>Comptant</t>
        </is>
      </c>
      <c r="K47" t="n">
        <v>0</v>
      </c>
    </row>
    <row r="48">
      <c r="A48" t="n">
        <v>2988</v>
      </c>
      <c r="B48" t="inlineStr">
        <is>
          <t>SARL m</t>
        </is>
      </c>
      <c r="C48" t="inlineStr">
        <is>
          <t>Professionnel</t>
        </is>
      </c>
      <c r="D48" t="inlineStr">
        <is>
          <t>Koudougou</t>
        </is>
      </c>
      <c r="E48" t="inlineStr">
        <is>
          <t>Centre-Ouest</t>
        </is>
      </c>
      <c r="F48" t="inlineStr">
        <is>
          <t>+226 76 92 97 48 95</t>
        </is>
      </c>
      <c r="H48" t="inlineStr">
        <is>
          <t>2016-04-21</t>
        </is>
      </c>
      <c r="I48" t="inlineStr">
        <is>
          <t>Standard</t>
        </is>
      </c>
      <c r="J48" t="inlineStr">
        <is>
          <t>Comptant</t>
        </is>
      </c>
      <c r="K48" t="n">
        <v>500000</v>
      </c>
    </row>
    <row r="49">
      <c r="A49" t="n">
        <v>3075</v>
      </c>
      <c r="B49" t="inlineStr">
        <is>
          <t>Chantiers r</t>
        </is>
      </c>
      <c r="C49" t="inlineStr">
        <is>
          <t>Professionnel</t>
        </is>
      </c>
      <c r="D49" t="inlineStr">
        <is>
          <t>Ouagadougou</t>
        </is>
      </c>
      <c r="E49" t="inlineStr">
        <is>
          <t>Centre</t>
        </is>
      </c>
      <c r="F49" t="inlineStr">
        <is>
          <t>+226 75 12 49 81 22</t>
        </is>
      </c>
      <c r="H49" t="inlineStr">
        <is>
          <t>2022-09-01</t>
        </is>
      </c>
      <c r="I49" t="inlineStr">
        <is>
          <t>Standard</t>
        </is>
      </c>
      <c r="J49" t="inlineStr">
        <is>
          <t>60 j</t>
        </is>
      </c>
      <c r="K49" t="n">
        <v>0</v>
      </c>
    </row>
    <row r="50">
      <c r="A50" t="n">
        <v>3371</v>
      </c>
      <c r="B50" t="inlineStr">
        <is>
          <t>Societe i</t>
        </is>
      </c>
      <c r="C50" t="inlineStr">
        <is>
          <t>Entreprise</t>
        </is>
      </c>
      <c r="D50" t="inlineStr">
        <is>
          <t>Bobo-Dioulasso</t>
        </is>
      </c>
      <c r="E50" t="inlineStr">
        <is>
          <t>Hauts-Bassins</t>
        </is>
      </c>
      <c r="F50" t="inlineStr">
        <is>
          <t>+226 76 86 61 11 84</t>
        </is>
      </c>
      <c r="G50" t="inlineStr">
        <is>
          <t>contact3371@gmail.com</t>
        </is>
      </c>
      <c r="H50" t="inlineStr">
        <is>
          <t>2022-03-24</t>
        </is>
      </c>
      <c r="I50" t="inlineStr">
        <is>
          <t>Standard</t>
        </is>
      </c>
      <c r="J50" t="inlineStr">
        <is>
          <t>30 j</t>
        </is>
      </c>
      <c r="K50" t="n">
        <v>0</v>
      </c>
    </row>
    <row r="51">
      <c r="A51" t="n">
        <v>3481</v>
      </c>
      <c r="B51" t="inlineStr">
        <is>
          <t>Societe o</t>
        </is>
      </c>
      <c r="C51" t="inlineStr">
        <is>
          <t>Entreprise</t>
        </is>
      </c>
      <c r="D51" t="inlineStr">
        <is>
          <t>Bobo-Dioulasso</t>
        </is>
      </c>
      <c r="E51" t="inlineStr">
        <is>
          <t>Hauts-Bassins</t>
        </is>
      </c>
      <c r="F51" t="inlineStr">
        <is>
          <t>+226 79 52 12 46 66</t>
        </is>
      </c>
      <c r="G51" t="inlineStr">
        <is>
          <t>contact3481@outlook.fr</t>
        </is>
      </c>
      <c r="H51" t="inlineStr">
        <is>
          <t>2022-11-26</t>
        </is>
      </c>
      <c r="I51" t="inlineStr">
        <is>
          <t>Or</t>
        </is>
      </c>
      <c r="J51" t="inlineStr">
        <is>
          <t>Comptant</t>
        </is>
      </c>
      <c r="K51" t="n">
        <v>500000</v>
      </c>
    </row>
    <row r="52">
      <c r="A52" t="n">
        <v>3668</v>
      </c>
      <c r="B52" t="inlineStr">
        <is>
          <t>Menage 03668</t>
        </is>
      </c>
      <c r="C52" t="inlineStr">
        <is>
          <t>Particulier</t>
        </is>
      </c>
      <c r="D52" t="inlineStr">
        <is>
          <t>Bobo-Dioulasso</t>
        </is>
      </c>
      <c r="E52" t="inlineStr">
        <is>
          <t>Hauts-Bassins</t>
        </is>
      </c>
      <c r="F52" t="inlineStr">
        <is>
          <t>+226 75 48 89 88 97</t>
        </is>
      </c>
      <c r="H52" t="inlineStr">
        <is>
          <t>2022-02-07</t>
        </is>
      </c>
      <c r="I52" t="inlineStr">
        <is>
          <t>Standard</t>
        </is>
      </c>
      <c r="J52" t="inlineStr">
        <is>
          <t>Comptant</t>
        </is>
      </c>
      <c r="K52" t="n">
        <v>250000</v>
      </c>
    </row>
    <row r="53">
      <c r="A53" t="n">
        <v>3696</v>
      </c>
      <c r="B53" t="inlineStr">
        <is>
          <t>Ets s</t>
        </is>
      </c>
      <c r="C53" t="inlineStr">
        <is>
          <t>Professionnel</t>
        </is>
      </c>
      <c r="D53" t="inlineStr">
        <is>
          <t>Kaya</t>
        </is>
      </c>
      <c r="E53" t="inlineStr">
        <is>
          <t>Centre-Nord</t>
        </is>
      </c>
      <c r="F53" t="inlineStr">
        <is>
          <t>+226 71 71 23 71 45</t>
        </is>
      </c>
      <c r="H53" t="inlineStr">
        <is>
          <t>2022-09-25</t>
        </is>
      </c>
      <c r="I53" t="inlineStr">
        <is>
          <t>Standard</t>
        </is>
      </c>
      <c r="J53" t="inlineStr">
        <is>
          <t>Comptant</t>
        </is>
      </c>
      <c r="K53" t="n">
        <v>250000</v>
      </c>
    </row>
    <row r="54">
      <c r="A54" t="n">
        <v>3702</v>
      </c>
      <c r="B54" t="inlineStr">
        <is>
          <t>Menage 03702</t>
        </is>
      </c>
      <c r="C54" t="inlineStr">
        <is>
          <t>Particulier</t>
        </is>
      </c>
      <c r="D54" t="inlineStr">
        <is>
          <t>Ziniaré</t>
        </is>
      </c>
      <c r="E54" t="inlineStr">
        <is>
          <t>Plateau-Central</t>
        </is>
      </c>
      <c r="F54" t="inlineStr">
        <is>
          <t>+226 77 14 51 42 91</t>
        </is>
      </c>
      <c r="H54" t="inlineStr">
        <is>
          <t>2020-02-06</t>
        </is>
      </c>
      <c r="I54" t="inlineStr">
        <is>
          <t>Standard</t>
        </is>
      </c>
      <c r="J54" t="inlineStr">
        <is>
          <t>Comptant</t>
        </is>
      </c>
      <c r="K54" t="n">
        <v>0</v>
      </c>
    </row>
    <row r="55">
      <c r="A55" t="n">
        <v>3742</v>
      </c>
      <c r="B55" t="inlineStr">
        <is>
          <t>SARL n</t>
        </is>
      </c>
      <c r="C55" t="inlineStr">
        <is>
          <t>Professionnel</t>
        </is>
      </c>
      <c r="D55" t="inlineStr">
        <is>
          <t>Kaya</t>
        </is>
      </c>
      <c r="E55" t="inlineStr">
        <is>
          <t>Centre-Nord</t>
        </is>
      </c>
      <c r="F55" t="inlineStr">
        <is>
          <t>+226 72 85 80 90 15</t>
        </is>
      </c>
      <c r="G55" t="inlineStr">
        <is>
          <t>contact3742@entreprise.bf</t>
        </is>
      </c>
      <c r="H55" t="inlineStr">
        <is>
          <t>2020-03-07</t>
        </is>
      </c>
      <c r="I55" t="inlineStr">
        <is>
          <t>Argent</t>
        </is>
      </c>
      <c r="J55" t="inlineStr">
        <is>
          <t>30 j</t>
        </is>
      </c>
      <c r="K55" t="n">
        <v>0</v>
      </c>
    </row>
    <row r="56">
      <c r="A56" t="n">
        <v>3764</v>
      </c>
      <c r="B56" t="inlineStr">
        <is>
          <t>Menage 03764</t>
        </is>
      </c>
      <c r="C56" t="inlineStr">
        <is>
          <t>Particulier</t>
        </is>
      </c>
      <c r="D56" t="inlineStr">
        <is>
          <t>Bobo-Dioulasso</t>
        </is>
      </c>
      <c r="E56" t="inlineStr">
        <is>
          <t>Hauts-Bassins</t>
        </is>
      </c>
      <c r="F56" t="inlineStr">
        <is>
          <t>+226 72 27 95 23 66</t>
        </is>
      </c>
      <c r="H56" t="inlineStr">
        <is>
          <t>2024-08-18</t>
        </is>
      </c>
      <c r="I56" t="inlineStr">
        <is>
          <t>Or</t>
        </is>
      </c>
      <c r="J56" t="inlineStr">
        <is>
          <t>Comptant</t>
        </is>
      </c>
      <c r="K56" t="n">
        <v>250000</v>
      </c>
    </row>
    <row r="57">
      <c r="A57" t="n">
        <v>3776</v>
      </c>
      <c r="B57" t="inlineStr">
        <is>
          <t>Chantiers p</t>
        </is>
      </c>
      <c r="C57" t="inlineStr">
        <is>
          <t>Entreprise</t>
        </is>
      </c>
      <c r="D57" t="inlineStr">
        <is>
          <t>Ouagadougou</t>
        </is>
      </c>
      <c r="E57" t="inlineStr">
        <is>
          <t>Centre</t>
        </is>
      </c>
      <c r="F57" t="inlineStr">
        <is>
          <t>+226 71 29 15 33 67</t>
        </is>
      </c>
      <c r="G57" t="inlineStr">
        <is>
          <t>contact3776@yahoo.fr</t>
        </is>
      </c>
      <c r="H57" t="inlineStr">
        <is>
          <t>2017-12-13</t>
        </is>
      </c>
      <c r="I57" t="inlineStr">
        <is>
          <t>Or</t>
        </is>
      </c>
      <c r="J57" t="inlineStr">
        <is>
          <t>Comptant</t>
        </is>
      </c>
      <c r="K57" t="n">
        <v>250000</v>
      </c>
    </row>
    <row r="58">
      <c r="A58" t="n">
        <v>3800</v>
      </c>
      <c r="B58" t="inlineStr">
        <is>
          <t>Menage 03800</t>
        </is>
      </c>
      <c r="C58" t="inlineStr">
        <is>
          <t>Particulier</t>
        </is>
      </c>
      <c r="D58" t="inlineStr">
        <is>
          <t>Ouagadougou</t>
        </is>
      </c>
      <c r="E58" t="inlineStr">
        <is>
          <t>Centre</t>
        </is>
      </c>
      <c r="F58" t="inlineStr">
        <is>
          <t>+226 79 16 25 94 47</t>
        </is>
      </c>
      <c r="H58" t="inlineStr">
        <is>
          <t>2021-06-05</t>
        </is>
      </c>
      <c r="I58" t="inlineStr">
        <is>
          <t>Standard</t>
        </is>
      </c>
      <c r="J58" t="inlineStr">
        <is>
          <t>Comptant</t>
        </is>
      </c>
      <c r="K58" t="n">
        <v>250000</v>
      </c>
    </row>
    <row r="59">
      <c r="A59" t="n">
        <v>3818</v>
      </c>
      <c r="B59" t="inlineStr">
        <is>
          <t>Menage 03818</t>
        </is>
      </c>
      <c r="C59" t="inlineStr">
        <is>
          <t>Particulier</t>
        </is>
      </c>
      <c r="D59" t="inlineStr">
        <is>
          <t>Ouagadougou</t>
        </is>
      </c>
      <c r="E59" t="inlineStr">
        <is>
          <t>Centre</t>
        </is>
      </c>
      <c r="F59" t="inlineStr">
        <is>
          <t>+226 73 91 79 86 87</t>
        </is>
      </c>
      <c r="H59" t="inlineStr">
        <is>
          <t>2019-01-02</t>
        </is>
      </c>
      <c r="I59" t="inlineStr">
        <is>
          <t>Standard</t>
        </is>
      </c>
      <c r="J59" t="inlineStr">
        <is>
          <t>30 j</t>
        </is>
      </c>
      <c r="K59" t="n">
        <v>500000</v>
      </c>
    </row>
    <row r="60">
      <c r="A60" t="n">
        <v>3825</v>
      </c>
      <c r="B60" t="inlineStr">
        <is>
          <t>Menage 03825</t>
        </is>
      </c>
      <c r="C60" t="inlineStr">
        <is>
          <t>Particulier</t>
        </is>
      </c>
      <c r="D60" t="inlineStr">
        <is>
          <t>Ouagadougou</t>
        </is>
      </c>
      <c r="E60" t="inlineStr">
        <is>
          <t>Centre</t>
        </is>
      </c>
      <c r="F60" t="inlineStr">
        <is>
          <t>+226 74 48 29 62 48</t>
        </is>
      </c>
      <c r="H60" t="inlineStr">
        <is>
          <t>2025-04-05</t>
        </is>
      </c>
      <c r="I60" t="inlineStr">
        <is>
          <t>Standard</t>
        </is>
      </c>
      <c r="J60" t="inlineStr">
        <is>
          <t>30 j</t>
        </is>
      </c>
      <c r="K60" t="n">
        <v>1500000</v>
      </c>
    </row>
    <row r="61">
      <c r="A61" t="n">
        <v>3959</v>
      </c>
      <c r="B61" t="inlineStr">
        <is>
          <t>Chantiers C</t>
        </is>
      </c>
      <c r="C61" t="inlineStr">
        <is>
          <t>Administration</t>
        </is>
      </c>
      <c r="D61" t="inlineStr">
        <is>
          <t>Ouagadougou</t>
        </is>
      </c>
      <c r="E61" t="inlineStr">
        <is>
          <t>Centre</t>
        </is>
      </c>
      <c r="F61" t="inlineStr">
        <is>
          <t>+226 70 74 46 30 94</t>
        </is>
      </c>
      <c r="H61" t="inlineStr">
        <is>
          <t>2025-11-28</t>
        </is>
      </c>
      <c r="I61" t="inlineStr">
        <is>
          <t>Standard</t>
        </is>
      </c>
      <c r="J61" t="inlineStr">
        <is>
          <t>30 j</t>
        </is>
      </c>
      <c r="K61" t="n">
        <v>0</v>
      </c>
    </row>
    <row r="62">
      <c r="A62" t="n">
        <v>3969</v>
      </c>
      <c r="B62" t="inlineStr">
        <is>
          <t>SARL i</t>
        </is>
      </c>
      <c r="C62" t="inlineStr">
        <is>
          <t>Professionnel</t>
        </is>
      </c>
      <c r="D62" t="inlineStr">
        <is>
          <t>Ouagadougou</t>
        </is>
      </c>
      <c r="E62" t="inlineStr">
        <is>
          <t>Centre</t>
        </is>
      </c>
      <c r="F62" t="inlineStr">
        <is>
          <t>+226 72 19 86 21 16</t>
        </is>
      </c>
      <c r="G62" t="inlineStr">
        <is>
          <t>contact3969@outlook.fr</t>
        </is>
      </c>
      <c r="H62" t="inlineStr">
        <is>
          <t>2022-11-04</t>
        </is>
      </c>
      <c r="I62" t="inlineStr">
        <is>
          <t>Argent</t>
        </is>
      </c>
      <c r="J62" t="inlineStr">
        <is>
          <t>Comptant</t>
        </is>
      </c>
      <c r="K62" t="n">
        <v>1500000</v>
      </c>
    </row>
    <row r="63">
      <c r="A63" t="n">
        <v>4004</v>
      </c>
      <c r="B63" t="inlineStr">
        <is>
          <t>Ets a</t>
        </is>
      </c>
      <c r="C63" t="inlineStr">
        <is>
          <t>Professionnel</t>
        </is>
      </c>
      <c r="D63" t="inlineStr">
        <is>
          <t>Koudougou</t>
        </is>
      </c>
      <c r="E63" t="inlineStr">
        <is>
          <t>Centre-Ouest</t>
        </is>
      </c>
      <c r="F63" t="inlineStr">
        <is>
          <t>+226 72 23 15 88 35</t>
        </is>
      </c>
      <c r="H63" t="inlineStr">
        <is>
          <t>2016-01-11</t>
        </is>
      </c>
      <c r="I63" t="inlineStr">
        <is>
          <t>Standard</t>
        </is>
      </c>
      <c r="J63" t="inlineStr">
        <is>
          <t>60 j</t>
        </is>
      </c>
      <c r="K63" t="n">
        <v>500000</v>
      </c>
    </row>
    <row r="64">
      <c r="A64" t="n">
        <v>4030</v>
      </c>
      <c r="B64" t="inlineStr">
        <is>
          <t>SARL n</t>
        </is>
      </c>
      <c r="C64" t="inlineStr">
        <is>
          <t>Administration</t>
        </is>
      </c>
      <c r="D64" t="inlineStr">
        <is>
          <t>Ouagadougou</t>
        </is>
      </c>
      <c r="E64" t="inlineStr">
        <is>
          <t>Centre</t>
        </is>
      </c>
      <c r="F64" t="inlineStr">
        <is>
          <t>+226 73 62 23 16 63</t>
        </is>
      </c>
      <c r="G64" t="inlineStr">
        <is>
          <t>contact4030@gmail.com</t>
        </is>
      </c>
      <c r="H64" t="inlineStr">
        <is>
          <t>2016-11-26</t>
        </is>
      </c>
      <c r="I64" t="inlineStr">
        <is>
          <t>Standard</t>
        </is>
      </c>
      <c r="J64" t="inlineStr">
        <is>
          <t>Comptant</t>
        </is>
      </c>
      <c r="K64" t="n">
        <v>250000</v>
      </c>
    </row>
    <row r="65">
      <c r="A65" t="n">
        <v>4037</v>
      </c>
      <c r="B65" t="inlineStr">
        <is>
          <t>Menage 04037</t>
        </is>
      </c>
      <c r="C65" t="inlineStr">
        <is>
          <t>Particulier</t>
        </is>
      </c>
      <c r="D65" t="inlineStr">
        <is>
          <t>Koudougou</t>
        </is>
      </c>
      <c r="E65" t="inlineStr">
        <is>
          <t>Centre-Ouest</t>
        </is>
      </c>
      <c r="F65" t="inlineStr">
        <is>
          <t>+226 71 30 93 87 90</t>
        </is>
      </c>
      <c r="H65" t="inlineStr">
        <is>
          <t>2025-03-05</t>
        </is>
      </c>
      <c r="I65" t="inlineStr">
        <is>
          <t>Standard</t>
        </is>
      </c>
      <c r="J65" t="inlineStr">
        <is>
          <t>30 j</t>
        </is>
      </c>
      <c r="K65" t="n">
        <v>0</v>
      </c>
    </row>
    <row r="66">
      <c r="A66" t="n">
        <v>4067</v>
      </c>
      <c r="B66" t="inlineStr">
        <is>
          <t>Menage 04067</t>
        </is>
      </c>
      <c r="C66" t="inlineStr">
        <is>
          <t>Particulier</t>
        </is>
      </c>
      <c r="D66" t="inlineStr">
        <is>
          <t>Ouagadougou</t>
        </is>
      </c>
      <c r="E66" t="inlineStr">
        <is>
          <t>Centre</t>
        </is>
      </c>
      <c r="F66" t="inlineStr">
        <is>
          <t>+226 74 29 52 87 60</t>
        </is>
      </c>
      <c r="H66" t="inlineStr">
        <is>
          <t>2024-08-14</t>
        </is>
      </c>
      <c r="I66" t="inlineStr">
        <is>
          <t>Standard</t>
        </is>
      </c>
      <c r="J66" t="inlineStr">
        <is>
          <t>30 j</t>
        </is>
      </c>
      <c r="K66" t="n">
        <v>0</v>
      </c>
    </row>
    <row r="67">
      <c r="A67" t="n">
        <v>4171</v>
      </c>
      <c r="B67" t="inlineStr">
        <is>
          <t>Chantiers n</t>
        </is>
      </c>
      <c r="C67" t="inlineStr">
        <is>
          <t>Professionnel</t>
        </is>
      </c>
      <c r="D67" t="inlineStr">
        <is>
          <t>Ouagadougou</t>
        </is>
      </c>
      <c r="E67" t="inlineStr">
        <is>
          <t>Centre</t>
        </is>
      </c>
      <c r="F67" t="inlineStr">
        <is>
          <t>+226 78 17 44 71 51</t>
        </is>
      </c>
      <c r="H67" t="inlineStr">
        <is>
          <t>2022-06-13</t>
        </is>
      </c>
      <c r="I67" t="inlineStr">
        <is>
          <t>Standard</t>
        </is>
      </c>
      <c r="J67" t="inlineStr">
        <is>
          <t>60 j</t>
        </is>
      </c>
      <c r="K67" t="n">
        <v>250000</v>
      </c>
    </row>
    <row r="68">
      <c r="A68" t="n">
        <v>4245</v>
      </c>
      <c r="B68" t="inlineStr">
        <is>
          <t>SARL n</t>
        </is>
      </c>
      <c r="C68" t="inlineStr">
        <is>
          <t>Professionnel</t>
        </is>
      </c>
      <c r="D68" t="inlineStr">
        <is>
          <t>Ziniaré</t>
        </is>
      </c>
      <c r="E68" t="inlineStr">
        <is>
          <t>Plateau-Central</t>
        </is>
      </c>
      <c r="F68" t="inlineStr">
        <is>
          <t>+226 71 13 60 22 92</t>
        </is>
      </c>
      <c r="G68" t="inlineStr">
        <is>
          <t>contact4245@entreprise.bf</t>
        </is>
      </c>
      <c r="H68" t="inlineStr">
        <is>
          <t>2021-09-23</t>
        </is>
      </c>
      <c r="I68" t="inlineStr">
        <is>
          <t>Argent</t>
        </is>
      </c>
      <c r="J68" t="inlineStr">
        <is>
          <t>30 j</t>
        </is>
      </c>
      <c r="K68" t="n">
        <v>0</v>
      </c>
    </row>
    <row r="69">
      <c r="A69" t="n">
        <v>4253</v>
      </c>
      <c r="B69" t="inlineStr">
        <is>
          <t>SARL o</t>
        </is>
      </c>
      <c r="C69" t="inlineStr">
        <is>
          <t>Professionnel</t>
        </is>
      </c>
      <c r="D69" t="inlineStr">
        <is>
          <t>Kaya</t>
        </is>
      </c>
      <c r="E69" t="inlineStr">
        <is>
          <t>Centre-Nord</t>
        </is>
      </c>
      <c r="F69" t="inlineStr">
        <is>
          <t>+226 70 38 86 14 10</t>
        </is>
      </c>
      <c r="G69" t="inlineStr">
        <is>
          <t>contact4253@entreprise.bf</t>
        </is>
      </c>
      <c r="H69" t="inlineStr">
        <is>
          <t>2024-11-01</t>
        </is>
      </c>
      <c r="I69" t="inlineStr">
        <is>
          <t>Or</t>
        </is>
      </c>
      <c r="J69" t="inlineStr">
        <is>
          <t>30 j</t>
        </is>
      </c>
      <c r="K69" t="n">
        <v>0</v>
      </c>
    </row>
    <row r="70">
      <c r="A70" t="n">
        <v>4280</v>
      </c>
      <c r="B70" t="inlineStr">
        <is>
          <t>Menage 04280</t>
        </is>
      </c>
      <c r="C70" t="inlineStr">
        <is>
          <t>Particulier</t>
        </is>
      </c>
      <c r="D70" t="inlineStr">
        <is>
          <t>Bobo-Dioulasso</t>
        </is>
      </c>
      <c r="E70" t="inlineStr">
        <is>
          <t>Hauts-Bassins</t>
        </is>
      </c>
      <c r="F70" t="inlineStr">
        <is>
          <t>+226 70 61 21 51 45</t>
        </is>
      </c>
      <c r="H70" t="inlineStr">
        <is>
          <t>2019-10-10</t>
        </is>
      </c>
      <c r="I70" t="inlineStr">
        <is>
          <t>Standard</t>
        </is>
      </c>
      <c r="J70" t="inlineStr">
        <is>
          <t>Comptant</t>
        </is>
      </c>
      <c r="K70" t="n">
        <v>1500000</v>
      </c>
    </row>
    <row r="71">
      <c r="A71" t="n">
        <v>4285</v>
      </c>
      <c r="B71" t="inlineStr">
        <is>
          <t>Chantiers n</t>
        </is>
      </c>
      <c r="C71" t="inlineStr">
        <is>
          <t>Professionnel</t>
        </is>
      </c>
      <c r="D71" t="inlineStr">
        <is>
          <t>Bobo-Dioulasso</t>
        </is>
      </c>
      <c r="E71" t="inlineStr">
        <is>
          <t>Hauts-Bassins</t>
        </is>
      </c>
      <c r="F71" t="inlineStr">
        <is>
          <t>+226 78 86 44 51 60</t>
        </is>
      </c>
      <c r="H71" t="inlineStr">
        <is>
          <t>2019-08-06</t>
        </is>
      </c>
      <c r="I71" t="inlineStr">
        <is>
          <t>Standard</t>
        </is>
      </c>
      <c r="J71" t="inlineStr">
        <is>
          <t>30 j</t>
        </is>
      </c>
      <c r="K71" t="n">
        <v>0</v>
      </c>
    </row>
    <row r="72">
      <c r="A72" t="n">
        <v>4341</v>
      </c>
      <c r="B72" t="inlineStr">
        <is>
          <t>Chantiers r</t>
        </is>
      </c>
      <c r="C72" t="inlineStr">
        <is>
          <t>Entreprise</t>
        </is>
      </c>
      <c r="D72" t="inlineStr">
        <is>
          <t>Ziniaré</t>
        </is>
      </c>
      <c r="E72" t="inlineStr">
        <is>
          <t>Plateau-Central</t>
        </is>
      </c>
      <c r="F72" t="inlineStr">
        <is>
          <t>+226 71 89 53 94 60</t>
        </is>
      </c>
      <c r="G72" t="inlineStr">
        <is>
          <t>contact4341@gmail.com</t>
        </is>
      </c>
      <c r="H72" t="inlineStr">
        <is>
          <t>2019-03-29</t>
        </is>
      </c>
      <c r="I72" t="inlineStr">
        <is>
          <t>Argent</t>
        </is>
      </c>
      <c r="J72" t="inlineStr">
        <is>
          <t>60 j</t>
        </is>
      </c>
      <c r="K72" t="n">
        <v>5000000</v>
      </c>
    </row>
    <row r="73">
      <c r="A73" t="n">
        <v>4415</v>
      </c>
      <c r="B73" t="inlineStr">
        <is>
          <t>Ets n</t>
        </is>
      </c>
      <c r="C73" t="inlineStr">
        <is>
          <t>Professionnel</t>
        </is>
      </c>
      <c r="D73" t="inlineStr">
        <is>
          <t>Kaya</t>
        </is>
      </c>
      <c r="E73" t="inlineStr">
        <is>
          <t>Centre-Nord</t>
        </is>
      </c>
      <c r="F73" t="inlineStr">
        <is>
          <t>+226 79 39 32 99 32</t>
        </is>
      </c>
      <c r="H73" t="inlineStr">
        <is>
          <t>2025-03-08</t>
        </is>
      </c>
      <c r="I73" t="inlineStr">
        <is>
          <t>Standard</t>
        </is>
      </c>
      <c r="J73" t="inlineStr">
        <is>
          <t>Comptant</t>
        </is>
      </c>
      <c r="K73" t="n">
        <v>0</v>
      </c>
    </row>
    <row r="74">
      <c r="A74" t="n">
        <v>4524</v>
      </c>
      <c r="B74" t="inlineStr">
        <is>
          <t>Chantiers t</t>
        </is>
      </c>
      <c r="C74" t="inlineStr">
        <is>
          <t>Entreprise</t>
        </is>
      </c>
      <c r="D74" t="inlineStr">
        <is>
          <t>Bobo-Dioulasso</t>
        </is>
      </c>
      <c r="E74" t="inlineStr">
        <is>
          <t>Hauts-Bassins</t>
        </is>
      </c>
      <c r="F74" t="inlineStr">
        <is>
          <t>+226 72 13 22 62 12</t>
        </is>
      </c>
      <c r="G74" t="inlineStr">
        <is>
          <t>contact4524@yahoo.fr</t>
        </is>
      </c>
      <c r="H74" t="inlineStr">
        <is>
          <t>2022-08-21</t>
        </is>
      </c>
      <c r="I74" t="inlineStr">
        <is>
          <t>Standard</t>
        </is>
      </c>
      <c r="J74" t="inlineStr">
        <is>
          <t>60 j</t>
        </is>
      </c>
      <c r="K74" t="n">
        <v>1500000</v>
      </c>
    </row>
    <row r="75">
      <c r="A75" t="n">
        <v>4653</v>
      </c>
      <c r="B75" t="inlineStr">
        <is>
          <t>SARL a</t>
        </is>
      </c>
      <c r="C75" t="inlineStr">
        <is>
          <t>Professionnel</t>
        </is>
      </c>
      <c r="D75" t="inlineStr">
        <is>
          <t>Bobo-Dioulasso</t>
        </is>
      </c>
      <c r="E75" t="inlineStr">
        <is>
          <t>Hauts-Bassins</t>
        </is>
      </c>
      <c r="F75" t="inlineStr">
        <is>
          <t>+226 75 29 26 61 79</t>
        </is>
      </c>
      <c r="G75" t="inlineStr">
        <is>
          <t>contact4653@outlook.fr</t>
        </is>
      </c>
      <c r="H75" t="inlineStr">
        <is>
          <t>2024-08-16</t>
        </is>
      </c>
      <c r="I75" t="inlineStr">
        <is>
          <t>Standard</t>
        </is>
      </c>
      <c r="J75" t="inlineStr">
        <is>
          <t>30 j</t>
        </is>
      </c>
      <c r="K75" t="n">
        <v>0</v>
      </c>
    </row>
    <row r="76">
      <c r="A76" t="n">
        <v>4654</v>
      </c>
      <c r="B76" t="inlineStr">
        <is>
          <t>Menage 04654</t>
        </is>
      </c>
      <c r="C76" t="inlineStr">
        <is>
          <t>Particulier</t>
        </is>
      </c>
      <c r="D76" t="inlineStr">
        <is>
          <t>Ziniaré</t>
        </is>
      </c>
      <c r="E76" t="inlineStr">
        <is>
          <t>Plateau-Central</t>
        </is>
      </c>
      <c r="F76" t="inlineStr">
        <is>
          <t>+226 75 44 91 16 71</t>
        </is>
      </c>
      <c r="H76" t="inlineStr">
        <is>
          <t>2017-02-02</t>
        </is>
      </c>
      <c r="I76" t="inlineStr">
        <is>
          <t>Standard</t>
        </is>
      </c>
      <c r="J76" t="inlineStr">
        <is>
          <t>Comptant</t>
        </is>
      </c>
      <c r="K76" t="n">
        <v>0</v>
      </c>
    </row>
    <row r="77">
      <c r="A77" t="n">
        <v>4660</v>
      </c>
      <c r="B77" t="inlineStr">
        <is>
          <t>Menage 04660</t>
        </is>
      </c>
      <c r="C77" t="inlineStr">
        <is>
          <t>Particulier</t>
        </is>
      </c>
      <c r="D77" t="inlineStr">
        <is>
          <t>Ouagadougou</t>
        </is>
      </c>
      <c r="E77" t="inlineStr">
        <is>
          <t>Centre</t>
        </is>
      </c>
      <c r="F77" t="inlineStr">
        <is>
          <t>+226 72 32 81 61 50</t>
        </is>
      </c>
      <c r="H77" t="inlineStr">
        <is>
          <t>2025-01-05</t>
        </is>
      </c>
      <c r="I77" t="inlineStr">
        <is>
          <t>Argent</t>
        </is>
      </c>
      <c r="J77" t="inlineStr">
        <is>
          <t>Comptant</t>
        </is>
      </c>
      <c r="K77" t="n">
        <v>0</v>
      </c>
    </row>
    <row r="78">
      <c r="A78" t="n">
        <v>4787</v>
      </c>
      <c r="B78" t="inlineStr">
        <is>
          <t>Menage 04787</t>
        </is>
      </c>
      <c r="C78" t="inlineStr">
        <is>
          <t>Particulier</t>
        </is>
      </c>
      <c r="D78" t="inlineStr">
        <is>
          <t>Kaya</t>
        </is>
      </c>
      <c r="E78" t="inlineStr">
        <is>
          <t>Centre-Nord</t>
        </is>
      </c>
      <c r="F78" t="inlineStr">
        <is>
          <t>+226 73 33 14 43 55</t>
        </is>
      </c>
      <c r="H78" t="inlineStr">
        <is>
          <t>2025-12-10</t>
        </is>
      </c>
      <c r="I78" t="inlineStr">
        <is>
          <t>Standard</t>
        </is>
      </c>
      <c r="J78" t="inlineStr">
        <is>
          <t>Comptant</t>
        </is>
      </c>
      <c r="K78" t="n">
        <v>0</v>
      </c>
    </row>
    <row r="79">
      <c r="A79" t="n">
        <v>4847</v>
      </c>
      <c r="B79" t="inlineStr">
        <is>
          <t>SARL u</t>
        </is>
      </c>
      <c r="C79" t="inlineStr">
        <is>
          <t>Professionnel</t>
        </is>
      </c>
      <c r="D79" t="inlineStr">
        <is>
          <t>Koudougou</t>
        </is>
      </c>
      <c r="E79" t="inlineStr">
        <is>
          <t>Centre-Ouest</t>
        </is>
      </c>
      <c r="F79" t="inlineStr">
        <is>
          <t>+226 72 40 36 48 84</t>
        </is>
      </c>
      <c r="H79" t="inlineStr">
        <is>
          <t>2025-05-27</t>
        </is>
      </c>
      <c r="I79" t="inlineStr">
        <is>
          <t>Standard</t>
        </is>
      </c>
      <c r="J79" t="inlineStr">
        <is>
          <t>Comptant</t>
        </is>
      </c>
      <c r="K79" t="n">
        <v>0</v>
      </c>
    </row>
    <row r="80">
      <c r="A80" t="n">
        <v>4982</v>
      </c>
      <c r="B80" t="inlineStr">
        <is>
          <t>Menage 04982</t>
        </is>
      </c>
      <c r="C80" t="inlineStr">
        <is>
          <t>Particulier</t>
        </is>
      </c>
      <c r="D80" t="inlineStr">
        <is>
          <t>Ouagadougou</t>
        </is>
      </c>
      <c r="E80" t="inlineStr">
        <is>
          <t>Centre</t>
        </is>
      </c>
      <c r="F80" t="inlineStr">
        <is>
          <t>+226 72 24 92 48 15</t>
        </is>
      </c>
      <c r="H80" t="inlineStr">
        <is>
          <t>2018-06-08</t>
        </is>
      </c>
      <c r="I80" t="inlineStr">
        <is>
          <t>Standard</t>
        </is>
      </c>
      <c r="J80" t="inlineStr">
        <is>
          <t>30 j</t>
        </is>
      </c>
      <c r="K80" t="n">
        <v>0</v>
      </c>
    </row>
    <row r="81">
      <c r="A81" t="n">
        <v>5037</v>
      </c>
      <c r="B81" t="inlineStr">
        <is>
          <t>Ets é</t>
        </is>
      </c>
      <c r="C81" t="inlineStr">
        <is>
          <t>Professionnel</t>
        </is>
      </c>
      <c r="D81" t="inlineStr">
        <is>
          <t>Ouagadougou</t>
        </is>
      </c>
      <c r="E81" t="inlineStr">
        <is>
          <t>Centre</t>
        </is>
      </c>
      <c r="F81" t="inlineStr">
        <is>
          <t>+226 79 29 81 51 49</t>
        </is>
      </c>
      <c r="G81" t="inlineStr">
        <is>
          <t>contact5037@yahoo.fr</t>
        </is>
      </c>
      <c r="H81" t="inlineStr">
        <is>
          <t>2021-10-23</t>
        </is>
      </c>
      <c r="I81" t="inlineStr">
        <is>
          <t>Standard</t>
        </is>
      </c>
      <c r="J81" t="inlineStr">
        <is>
          <t>60 j</t>
        </is>
      </c>
      <c r="K81" t="n">
        <v>500000</v>
      </c>
    </row>
    <row r="82">
      <c r="A82" t="n">
        <v>5046</v>
      </c>
      <c r="B82" t="inlineStr">
        <is>
          <t>Menage 05046</t>
        </is>
      </c>
      <c r="C82" t="inlineStr">
        <is>
          <t>Particulier</t>
        </is>
      </c>
      <c r="D82" t="inlineStr">
        <is>
          <t>Ouagadougou</t>
        </is>
      </c>
      <c r="E82" t="inlineStr">
        <is>
          <t>Centre</t>
        </is>
      </c>
      <c r="F82" t="inlineStr">
        <is>
          <t>+226 76 39 80 98 82</t>
        </is>
      </c>
      <c r="H82" t="inlineStr">
        <is>
          <t>2022-10-09</t>
        </is>
      </c>
      <c r="I82" t="inlineStr">
        <is>
          <t>Standard</t>
        </is>
      </c>
      <c r="J82" t="inlineStr">
        <is>
          <t>Comptant</t>
        </is>
      </c>
      <c r="K82" t="n">
        <v>1500000</v>
      </c>
    </row>
    <row r="83">
      <c r="A83" t="n">
        <v>5090</v>
      </c>
      <c r="B83" t="inlineStr">
        <is>
          <t>Menage 05090</t>
        </is>
      </c>
      <c r="C83" t="inlineStr">
        <is>
          <t>Particulier</t>
        </is>
      </c>
      <c r="D83" t="inlineStr">
        <is>
          <t>Kaya</t>
        </is>
      </c>
      <c r="E83" t="inlineStr">
        <is>
          <t>Centre-Nord</t>
        </is>
      </c>
      <c r="F83" t="inlineStr">
        <is>
          <t>+226 75 33 63 62 21</t>
        </is>
      </c>
      <c r="H83" t="inlineStr">
        <is>
          <t>2023-10-15</t>
        </is>
      </c>
      <c r="I83" t="inlineStr">
        <is>
          <t>Argent</t>
        </is>
      </c>
      <c r="J83" t="inlineStr">
        <is>
          <t>Comptant</t>
        </is>
      </c>
      <c r="K83" t="n">
        <v>0</v>
      </c>
    </row>
    <row r="84">
      <c r="A84" t="n">
        <v>5096</v>
      </c>
      <c r="B84" t="inlineStr">
        <is>
          <t>Menage 05096</t>
        </is>
      </c>
      <c r="C84" t="inlineStr">
        <is>
          <t>Particulier</t>
        </is>
      </c>
      <c r="D84" t="inlineStr">
        <is>
          <t>Bobo-Dioulasso</t>
        </is>
      </c>
      <c r="E84" t="inlineStr">
        <is>
          <t>Hauts-Bassins</t>
        </is>
      </c>
      <c r="F84" t="inlineStr">
        <is>
          <t>+226 70 63 12 98 31</t>
        </is>
      </c>
      <c r="H84" t="inlineStr">
        <is>
          <t>2017-04-10</t>
        </is>
      </c>
      <c r="I84" t="inlineStr">
        <is>
          <t>Standard</t>
        </is>
      </c>
      <c r="J84" t="inlineStr">
        <is>
          <t>Comptant</t>
        </is>
      </c>
      <c r="K84" t="n">
        <v>250000</v>
      </c>
    </row>
    <row r="85">
      <c r="A85" t="n">
        <v>5122</v>
      </c>
      <c r="B85" t="inlineStr">
        <is>
          <t>Menage 05122</t>
        </is>
      </c>
      <c r="C85" t="inlineStr">
        <is>
          <t>Particulier</t>
        </is>
      </c>
      <c r="D85" t="inlineStr">
        <is>
          <t>Bobo-Dioulasso</t>
        </is>
      </c>
      <c r="E85" t="inlineStr">
        <is>
          <t>Hauts-Bassins</t>
        </is>
      </c>
      <c r="F85" t="inlineStr">
        <is>
          <t>+226 75 99 18 45 40</t>
        </is>
      </c>
      <c r="H85" t="inlineStr">
        <is>
          <t>2018-01-18</t>
        </is>
      </c>
      <c r="I85" t="inlineStr">
        <is>
          <t>Argent</t>
        </is>
      </c>
      <c r="J85" t="inlineStr">
        <is>
          <t>60 j</t>
        </is>
      </c>
      <c r="K85" t="n">
        <v>0</v>
      </c>
    </row>
    <row r="86">
      <c r="A86" t="n">
        <v>5173</v>
      </c>
      <c r="B86" t="inlineStr">
        <is>
          <t>Ets t</t>
        </is>
      </c>
      <c r="C86" t="inlineStr">
        <is>
          <t>Administration</t>
        </is>
      </c>
      <c r="D86" t="inlineStr">
        <is>
          <t>Ziniaré</t>
        </is>
      </c>
      <c r="E86" t="inlineStr">
        <is>
          <t>Plateau-Central</t>
        </is>
      </c>
      <c r="F86" t="inlineStr">
        <is>
          <t>+226 71 52 10 80 47</t>
        </is>
      </c>
      <c r="H86" t="inlineStr">
        <is>
          <t>2017-03-22</t>
        </is>
      </c>
      <c r="I86" t="inlineStr">
        <is>
          <t>Standard</t>
        </is>
      </c>
      <c r="J86" t="inlineStr">
        <is>
          <t>60 j</t>
        </is>
      </c>
      <c r="K86" t="n">
        <v>250000</v>
      </c>
    </row>
    <row r="87">
      <c r="A87" t="n">
        <v>5228</v>
      </c>
      <c r="B87" t="inlineStr">
        <is>
          <t>Ets a</t>
        </is>
      </c>
      <c r="C87" t="inlineStr">
        <is>
          <t>Professionnel</t>
        </is>
      </c>
      <c r="D87" t="inlineStr">
        <is>
          <t>Bobo-Dioulasso</t>
        </is>
      </c>
      <c r="E87" t="inlineStr">
        <is>
          <t>Hauts-Bassins</t>
        </is>
      </c>
      <c r="F87" t="inlineStr">
        <is>
          <t>+226 72 14 21 79 98</t>
        </is>
      </c>
      <c r="G87" t="inlineStr">
        <is>
          <t>contact5228@yahoo.fr</t>
        </is>
      </c>
      <c r="H87" t="inlineStr">
        <is>
          <t>2018-04-24</t>
        </is>
      </c>
      <c r="I87" t="inlineStr">
        <is>
          <t>Or</t>
        </is>
      </c>
      <c r="J87" t="inlineStr">
        <is>
          <t>Comptant</t>
        </is>
      </c>
      <c r="K87" t="n">
        <v>1500000</v>
      </c>
    </row>
    <row r="88">
      <c r="A88" t="n">
        <v>5244</v>
      </c>
      <c r="B88" t="inlineStr">
        <is>
          <t>Ets o</t>
        </is>
      </c>
      <c r="C88" t="inlineStr">
        <is>
          <t>Professionnel</t>
        </is>
      </c>
      <c r="D88" t="inlineStr">
        <is>
          <t>Ziniaré</t>
        </is>
      </c>
      <c r="E88" t="inlineStr">
        <is>
          <t>Plateau-Central</t>
        </is>
      </c>
      <c r="F88" t="inlineStr">
        <is>
          <t>+226 78 65 91 68 13</t>
        </is>
      </c>
      <c r="G88" t="inlineStr">
        <is>
          <t>contact5244@gmail.com</t>
        </is>
      </c>
      <c r="H88" t="inlineStr">
        <is>
          <t>2017-01-14</t>
        </is>
      </c>
      <c r="I88" t="inlineStr">
        <is>
          <t>Standard</t>
        </is>
      </c>
      <c r="J88" t="inlineStr">
        <is>
          <t>30 j</t>
        </is>
      </c>
      <c r="K88" t="n">
        <v>0</v>
      </c>
    </row>
    <row r="89">
      <c r="A89" t="n">
        <v>5339</v>
      </c>
      <c r="B89" t="inlineStr">
        <is>
          <t>Menage 05339</t>
        </is>
      </c>
      <c r="C89" t="inlineStr">
        <is>
          <t>Particulier</t>
        </is>
      </c>
      <c r="D89" t="inlineStr">
        <is>
          <t>Bobo-Dioulasso</t>
        </is>
      </c>
      <c r="E89" t="inlineStr">
        <is>
          <t>Hauts-Bassins</t>
        </is>
      </c>
      <c r="F89" t="inlineStr">
        <is>
          <t>+226 77 88 28 48 54</t>
        </is>
      </c>
      <c r="H89" t="inlineStr">
        <is>
          <t>2018-09-20</t>
        </is>
      </c>
      <c r="I89" t="inlineStr">
        <is>
          <t>Argent</t>
        </is>
      </c>
      <c r="J89" t="inlineStr">
        <is>
          <t>30 j</t>
        </is>
      </c>
      <c r="K89" t="n">
        <v>1500000</v>
      </c>
    </row>
    <row r="90">
      <c r="A90" t="n">
        <v>5345</v>
      </c>
      <c r="B90" t="inlineStr">
        <is>
          <t>Societe n</t>
        </is>
      </c>
      <c r="C90" t="inlineStr">
        <is>
          <t>Professionnel</t>
        </is>
      </c>
      <c r="D90" t="inlineStr">
        <is>
          <t>Ouagadougou</t>
        </is>
      </c>
      <c r="E90" t="inlineStr">
        <is>
          <t>Centre</t>
        </is>
      </c>
      <c r="F90" t="inlineStr">
        <is>
          <t>+226 71 40 82 37 68</t>
        </is>
      </c>
      <c r="G90" t="inlineStr">
        <is>
          <t>contact5345@yahoo.fr</t>
        </is>
      </c>
      <c r="H90" t="inlineStr">
        <is>
          <t>2026-04-04</t>
        </is>
      </c>
      <c r="I90" t="inlineStr">
        <is>
          <t>Standard</t>
        </is>
      </c>
      <c r="J90" t="inlineStr">
        <is>
          <t>Comptant</t>
        </is>
      </c>
      <c r="K90" t="n">
        <v>0</v>
      </c>
    </row>
    <row r="91">
      <c r="A91" t="n">
        <v>5480</v>
      </c>
      <c r="B91" t="inlineStr">
        <is>
          <t>SARL o</t>
        </is>
      </c>
      <c r="C91" t="inlineStr">
        <is>
          <t>Professionnel</t>
        </is>
      </c>
      <c r="D91" t="inlineStr">
        <is>
          <t>Ouagadougou</t>
        </is>
      </c>
      <c r="E91" t="inlineStr">
        <is>
          <t>Centre</t>
        </is>
      </c>
      <c r="F91" t="inlineStr">
        <is>
          <t>+226 77 43 73 31 91</t>
        </is>
      </c>
      <c r="G91" t="inlineStr">
        <is>
          <t>contact5480@entreprise.bf</t>
        </is>
      </c>
      <c r="H91" t="inlineStr">
        <is>
          <t>2019-09-15</t>
        </is>
      </c>
      <c r="I91" t="inlineStr">
        <is>
          <t>Standard</t>
        </is>
      </c>
      <c r="J91" t="inlineStr">
        <is>
          <t>Comptant</t>
        </is>
      </c>
      <c r="K91" t="n">
        <v>250000</v>
      </c>
    </row>
    <row r="92">
      <c r="A92" t="n">
        <v>5532</v>
      </c>
      <c r="B92" t="inlineStr">
        <is>
          <t>Chantiers m</t>
        </is>
      </c>
      <c r="C92" t="inlineStr">
        <is>
          <t>Professionnel</t>
        </is>
      </c>
      <c r="D92" t="inlineStr">
        <is>
          <t>Bobo-Dioulasso</t>
        </is>
      </c>
      <c r="E92" t="inlineStr">
        <is>
          <t>Hauts-Bassins</t>
        </is>
      </c>
      <c r="F92" t="inlineStr">
        <is>
          <t>+226 77 72 38 35 48</t>
        </is>
      </c>
      <c r="H92" t="inlineStr">
        <is>
          <t>2023-04-02</t>
        </is>
      </c>
      <c r="I92" t="inlineStr">
        <is>
          <t>Standard</t>
        </is>
      </c>
      <c r="J92" t="inlineStr">
        <is>
          <t>30 j</t>
        </is>
      </c>
      <c r="K92" t="n">
        <v>250000</v>
      </c>
    </row>
    <row r="93">
      <c r="A93" t="n">
        <v>5578</v>
      </c>
      <c r="B93" t="inlineStr">
        <is>
          <t>Menage 05578</t>
        </is>
      </c>
      <c r="C93" t="inlineStr">
        <is>
          <t>Particulier</t>
        </is>
      </c>
      <c r="D93" t="inlineStr">
        <is>
          <t>Ziniaré</t>
        </is>
      </c>
      <c r="E93" t="inlineStr">
        <is>
          <t>Plateau-Central</t>
        </is>
      </c>
      <c r="F93" t="inlineStr">
        <is>
          <t>+226 76 44 70 84 38</t>
        </is>
      </c>
      <c r="H93" t="inlineStr">
        <is>
          <t>2024-10-31</t>
        </is>
      </c>
      <c r="I93" t="inlineStr">
        <is>
          <t>Standard</t>
        </is>
      </c>
      <c r="J93" t="inlineStr">
        <is>
          <t>Comptant</t>
        </is>
      </c>
      <c r="K93" t="n">
        <v>250000</v>
      </c>
    </row>
    <row r="94">
      <c r="A94" t="n">
        <v>5725</v>
      </c>
      <c r="B94" t="inlineStr">
        <is>
          <t>Menage 05725</t>
        </is>
      </c>
      <c r="C94" t="inlineStr">
        <is>
          <t>Particulier</t>
        </is>
      </c>
      <c r="D94" t="inlineStr">
        <is>
          <t>Ouagadougou</t>
        </is>
      </c>
      <c r="E94" t="inlineStr">
        <is>
          <t>Centre</t>
        </is>
      </c>
      <c r="F94" t="inlineStr">
        <is>
          <t>+226 76 66 75 33 58</t>
        </is>
      </c>
      <c r="H94" t="inlineStr">
        <is>
          <t>2019-10-30</t>
        </is>
      </c>
      <c r="I94" t="inlineStr">
        <is>
          <t>Standard</t>
        </is>
      </c>
      <c r="J94" t="inlineStr">
        <is>
          <t>30 j</t>
        </is>
      </c>
      <c r="K94" t="n">
        <v>0</v>
      </c>
    </row>
    <row r="95">
      <c r="A95" t="n">
        <v>5767</v>
      </c>
      <c r="B95" t="inlineStr">
        <is>
          <t>Menage 05767</t>
        </is>
      </c>
      <c r="C95" t="inlineStr">
        <is>
          <t>Particulier</t>
        </is>
      </c>
      <c r="D95" t="inlineStr">
        <is>
          <t>Ouagadougou</t>
        </is>
      </c>
      <c r="E95" t="inlineStr">
        <is>
          <t>Centre</t>
        </is>
      </c>
      <c r="F95" t="inlineStr">
        <is>
          <t>+226 73 98 64 69 21</t>
        </is>
      </c>
      <c r="H95" t="inlineStr">
        <is>
          <t>2020-04-16</t>
        </is>
      </c>
      <c r="I95" t="inlineStr">
        <is>
          <t>Standard</t>
        </is>
      </c>
      <c r="J95" t="inlineStr">
        <is>
          <t>30 j</t>
        </is>
      </c>
      <c r="K95" t="n">
        <v>250000</v>
      </c>
    </row>
    <row r="96">
      <c r="A96" t="n">
        <v>5812</v>
      </c>
      <c r="B96" t="inlineStr">
        <is>
          <t>Menage 05812</t>
        </is>
      </c>
      <c r="C96" t="inlineStr">
        <is>
          <t>Particulier</t>
        </is>
      </c>
      <c r="D96" t="inlineStr">
        <is>
          <t>Kaya</t>
        </is>
      </c>
      <c r="E96" t="inlineStr">
        <is>
          <t>Centre-Nord</t>
        </is>
      </c>
      <c r="F96" t="inlineStr">
        <is>
          <t>+226 76 56 64 72 60</t>
        </is>
      </c>
      <c r="H96" t="inlineStr">
        <is>
          <t>2021-06-02</t>
        </is>
      </c>
      <c r="I96" t="inlineStr">
        <is>
          <t>Or</t>
        </is>
      </c>
      <c r="J96" t="inlineStr">
        <is>
          <t>60 j</t>
        </is>
      </c>
      <c r="K96" t="n">
        <v>0</v>
      </c>
    </row>
    <row r="97">
      <c r="A97" t="n">
        <v>5882</v>
      </c>
      <c r="B97" t="inlineStr">
        <is>
          <t>Chantiers r</t>
        </is>
      </c>
      <c r="C97" t="inlineStr">
        <is>
          <t>Entreprise</t>
        </is>
      </c>
      <c r="D97" t="inlineStr">
        <is>
          <t>Bobo-Dioulasso</t>
        </is>
      </c>
      <c r="E97" t="inlineStr">
        <is>
          <t>Hauts-Bassins</t>
        </is>
      </c>
      <c r="F97" t="inlineStr">
        <is>
          <t>+226 79 90 89 72 40</t>
        </is>
      </c>
      <c r="G97" t="inlineStr">
        <is>
          <t>contact5882@gmail.com</t>
        </is>
      </c>
      <c r="H97" t="inlineStr">
        <is>
          <t>2021-02-10</t>
        </is>
      </c>
      <c r="I97" t="inlineStr">
        <is>
          <t>Or</t>
        </is>
      </c>
      <c r="J97" t="inlineStr">
        <is>
          <t>30 j</t>
        </is>
      </c>
      <c r="K97" t="n">
        <v>5000000</v>
      </c>
    </row>
    <row r="98">
      <c r="A98" t="n">
        <v>5892</v>
      </c>
      <c r="B98" t="inlineStr">
        <is>
          <t>Menage 05892</t>
        </is>
      </c>
      <c r="C98" t="inlineStr">
        <is>
          <t>Particulier</t>
        </is>
      </c>
      <c r="D98" t="inlineStr">
        <is>
          <t>Ouagadougou</t>
        </is>
      </c>
      <c r="E98" t="inlineStr">
        <is>
          <t>Centre</t>
        </is>
      </c>
      <c r="F98" t="inlineStr">
        <is>
          <t>+226 75 28 48 96 43</t>
        </is>
      </c>
      <c r="H98" t="inlineStr">
        <is>
          <t>2016-10-19</t>
        </is>
      </c>
      <c r="I98" t="inlineStr">
        <is>
          <t>Or</t>
        </is>
      </c>
      <c r="J98" t="inlineStr">
        <is>
          <t>Comptant</t>
        </is>
      </c>
      <c r="K98" t="n">
        <v>250000</v>
      </c>
    </row>
    <row r="99">
      <c r="A99" t="n">
        <v>5898</v>
      </c>
      <c r="B99" t="inlineStr">
        <is>
          <t>Menage 05898</t>
        </is>
      </c>
      <c r="C99" t="inlineStr">
        <is>
          <t>Particulier</t>
        </is>
      </c>
      <c r="D99" t="inlineStr">
        <is>
          <t>Koudougou</t>
        </is>
      </c>
      <c r="E99" t="inlineStr">
        <is>
          <t>Centre-Ouest</t>
        </is>
      </c>
      <c r="F99" t="inlineStr">
        <is>
          <t>+226 76 76 39 62 50</t>
        </is>
      </c>
      <c r="H99" t="inlineStr">
        <is>
          <t>2024-11-14</t>
        </is>
      </c>
      <c r="I99" t="inlineStr">
        <is>
          <t>Standard</t>
        </is>
      </c>
      <c r="J99" t="inlineStr">
        <is>
          <t>30 j</t>
        </is>
      </c>
      <c r="K99" t="n">
        <v>1500000</v>
      </c>
    </row>
    <row r="100">
      <c r="A100" t="n">
        <v>5921</v>
      </c>
      <c r="B100" t="inlineStr">
        <is>
          <t>Menage 05921</t>
        </is>
      </c>
      <c r="C100" t="inlineStr">
        <is>
          <t>Particulier</t>
        </is>
      </c>
      <c r="D100" t="inlineStr">
        <is>
          <t>Ouagadougou</t>
        </is>
      </c>
      <c r="E100" t="inlineStr">
        <is>
          <t>Centre</t>
        </is>
      </c>
      <c r="F100" t="inlineStr">
        <is>
          <t>+226 73 70 51 94 72</t>
        </is>
      </c>
      <c r="H100" t="inlineStr">
        <is>
          <t>2017-04-19</t>
        </is>
      </c>
      <c r="I100" t="inlineStr">
        <is>
          <t>Standard</t>
        </is>
      </c>
      <c r="J100" t="inlineStr">
        <is>
          <t>30 j</t>
        </is>
      </c>
      <c r="K100" t="n">
        <v>250000</v>
      </c>
    </row>
    <row r="101">
      <c r="A101" t="n">
        <v>5926</v>
      </c>
      <c r="B101" t="inlineStr">
        <is>
          <t>Chantiers é</t>
        </is>
      </c>
      <c r="C101" t="inlineStr">
        <is>
          <t>Professionnel</t>
        </is>
      </c>
      <c r="D101" t="inlineStr">
        <is>
          <t>Ouagadougou</t>
        </is>
      </c>
      <c r="E101" t="inlineStr">
        <is>
          <t>Centre</t>
        </is>
      </c>
      <c r="F101" t="inlineStr">
        <is>
          <t>+226 74 91 73 18 72</t>
        </is>
      </c>
      <c r="H101" t="inlineStr">
        <is>
          <t>2025-01-29</t>
        </is>
      </c>
      <c r="I101" t="inlineStr">
        <is>
          <t>Argent</t>
        </is>
      </c>
      <c r="J101" t="inlineStr">
        <is>
          <t>Comptant</t>
        </is>
      </c>
      <c r="K101" t="n">
        <v>0</v>
      </c>
    </row>
    <row r="102">
      <c r="A102" t="n">
        <v>5989</v>
      </c>
      <c r="B102" t="inlineStr">
        <is>
          <t>Ets o</t>
        </is>
      </c>
      <c r="C102" t="inlineStr">
        <is>
          <t>Administration</t>
        </is>
      </c>
      <c r="D102" t="inlineStr">
        <is>
          <t>Ouagadougou</t>
        </is>
      </c>
      <c r="E102" t="inlineStr">
        <is>
          <t>Centre</t>
        </is>
      </c>
      <c r="F102" t="inlineStr">
        <is>
          <t>+226 72 90 13 70 29</t>
        </is>
      </c>
      <c r="H102" t="inlineStr">
        <is>
          <t>2020-11-21</t>
        </is>
      </c>
      <c r="I102" t="inlineStr">
        <is>
          <t>Standard</t>
        </is>
      </c>
      <c r="J102" t="inlineStr">
        <is>
          <t>Comptant</t>
        </is>
      </c>
      <c r="K102" t="n">
        <v>1500000</v>
      </c>
    </row>
    <row r="103">
      <c r="A103" t="n">
        <v>6090</v>
      </c>
      <c r="B103" t="inlineStr">
        <is>
          <t>Menage 06090</t>
        </is>
      </c>
      <c r="C103" t="inlineStr">
        <is>
          <t>Particulier</t>
        </is>
      </c>
      <c r="D103" t="inlineStr">
        <is>
          <t>Koudougou</t>
        </is>
      </c>
      <c r="E103" t="inlineStr">
        <is>
          <t>Centre-Ouest</t>
        </is>
      </c>
      <c r="F103" t="inlineStr">
        <is>
          <t>+226 71 41 57 50 97</t>
        </is>
      </c>
      <c r="H103" t="inlineStr">
        <is>
          <t>2022-03-14</t>
        </is>
      </c>
      <c r="I103" t="inlineStr">
        <is>
          <t>Argent</t>
        </is>
      </c>
      <c r="J103" t="inlineStr">
        <is>
          <t>Comptant</t>
        </is>
      </c>
      <c r="K103" t="n">
        <v>500000</v>
      </c>
    </row>
    <row r="104">
      <c r="A104" t="n">
        <v>6405</v>
      </c>
      <c r="B104" t="inlineStr">
        <is>
          <t>Chantiers r</t>
        </is>
      </c>
      <c r="C104" t="inlineStr">
        <is>
          <t>Professionnel</t>
        </is>
      </c>
      <c r="D104" t="inlineStr">
        <is>
          <t>Ouagadougou</t>
        </is>
      </c>
      <c r="E104" t="inlineStr">
        <is>
          <t>Centre</t>
        </is>
      </c>
      <c r="F104" t="inlineStr">
        <is>
          <t>+226 75 47 73 69 91</t>
        </is>
      </c>
      <c r="H104" t="inlineStr">
        <is>
          <t>2023-10-05</t>
        </is>
      </c>
      <c r="I104" t="inlineStr">
        <is>
          <t>Argent</t>
        </is>
      </c>
      <c r="J104" t="inlineStr">
        <is>
          <t>30 j</t>
        </is>
      </c>
      <c r="K104" t="n">
        <v>0</v>
      </c>
    </row>
    <row r="105">
      <c r="A105" t="n">
        <v>6419</v>
      </c>
      <c r="B105" t="inlineStr">
        <is>
          <t>SARL i</t>
        </is>
      </c>
      <c r="C105" t="inlineStr">
        <is>
          <t>Professionnel</t>
        </is>
      </c>
      <c r="D105" t="inlineStr">
        <is>
          <t>Koudougou</t>
        </is>
      </c>
      <c r="E105" t="inlineStr">
        <is>
          <t>Centre-Ouest</t>
        </is>
      </c>
      <c r="F105" t="inlineStr">
        <is>
          <t>+226 79 70 25 90 39</t>
        </is>
      </c>
      <c r="G105" t="inlineStr">
        <is>
          <t>contact6419@yahoo.fr</t>
        </is>
      </c>
      <c r="H105" t="inlineStr">
        <is>
          <t>2019-02-11</t>
        </is>
      </c>
      <c r="I105" t="inlineStr">
        <is>
          <t>Or</t>
        </is>
      </c>
      <c r="J105" t="inlineStr">
        <is>
          <t>Comptant</t>
        </is>
      </c>
      <c r="K105" t="n">
        <v>0</v>
      </c>
    </row>
    <row r="106">
      <c r="A106" t="n">
        <v>6420</v>
      </c>
      <c r="B106" t="inlineStr">
        <is>
          <t>Ets o</t>
        </is>
      </c>
      <c r="C106" t="inlineStr">
        <is>
          <t>Administration</t>
        </is>
      </c>
      <c r="D106" t="inlineStr">
        <is>
          <t>Bobo-Dioulasso</t>
        </is>
      </c>
      <c r="E106" t="inlineStr">
        <is>
          <t>Hauts-Bassins</t>
        </is>
      </c>
      <c r="F106" t="inlineStr">
        <is>
          <t>+226 72 70 97 49 49</t>
        </is>
      </c>
      <c r="H106" t="inlineStr">
        <is>
          <t>2020-06-13</t>
        </is>
      </c>
      <c r="I106" t="inlineStr">
        <is>
          <t>Standard</t>
        </is>
      </c>
      <c r="J106" t="inlineStr">
        <is>
          <t>30 j</t>
        </is>
      </c>
      <c r="K106" t="n">
        <v>0</v>
      </c>
    </row>
    <row r="107">
      <c r="A107" t="n">
        <v>6445</v>
      </c>
      <c r="B107" t="inlineStr">
        <is>
          <t>Menage 06445</t>
        </is>
      </c>
      <c r="C107" t="inlineStr">
        <is>
          <t>Particulier</t>
        </is>
      </c>
      <c r="D107" t="inlineStr">
        <is>
          <t>Ouagadougou</t>
        </is>
      </c>
      <c r="E107" t="inlineStr">
        <is>
          <t>Centre</t>
        </is>
      </c>
      <c r="F107" t="inlineStr">
        <is>
          <t>+226 76 45 96 70 73</t>
        </is>
      </c>
      <c r="H107" t="inlineStr">
        <is>
          <t>2023-06-07</t>
        </is>
      </c>
      <c r="I107" t="inlineStr">
        <is>
          <t>Standard</t>
        </is>
      </c>
      <c r="J107" t="inlineStr">
        <is>
          <t>Comptant</t>
        </is>
      </c>
      <c r="K107" t="n">
        <v>0</v>
      </c>
    </row>
    <row r="108">
      <c r="A108" t="n">
        <v>6472</v>
      </c>
      <c r="B108" t="inlineStr">
        <is>
          <t>Societe é</t>
        </is>
      </c>
      <c r="C108" t="inlineStr">
        <is>
          <t>Professionnel</t>
        </is>
      </c>
      <c r="D108" t="inlineStr">
        <is>
          <t>Ouagadougou</t>
        </is>
      </c>
      <c r="E108" t="inlineStr">
        <is>
          <t>Centre</t>
        </is>
      </c>
      <c r="F108" t="inlineStr">
        <is>
          <t>+226 79 53 50 83 72</t>
        </is>
      </c>
      <c r="G108" t="inlineStr">
        <is>
          <t>contact6472@outlook.fr</t>
        </is>
      </c>
      <c r="H108" t="inlineStr">
        <is>
          <t>2024-05-09</t>
        </is>
      </c>
      <c r="I108" t="inlineStr">
        <is>
          <t>Argent</t>
        </is>
      </c>
      <c r="J108" t="inlineStr">
        <is>
          <t>Comptant</t>
        </is>
      </c>
      <c r="K108" t="n">
        <v>0</v>
      </c>
    </row>
    <row r="109">
      <c r="A109" t="n">
        <v>6502</v>
      </c>
      <c r="B109" t="inlineStr">
        <is>
          <t>Societe d</t>
        </is>
      </c>
      <c r="C109" t="inlineStr">
        <is>
          <t>Professionnel</t>
        </is>
      </c>
      <c r="D109" t="inlineStr">
        <is>
          <t>Ouagadougou</t>
        </is>
      </c>
      <c r="E109" t="inlineStr">
        <is>
          <t>Centre</t>
        </is>
      </c>
      <c r="F109" t="inlineStr">
        <is>
          <t>+226 71 75 43 93 15</t>
        </is>
      </c>
      <c r="G109" t="inlineStr">
        <is>
          <t>contact6502@outlook.fr</t>
        </is>
      </c>
      <c r="H109" t="inlineStr">
        <is>
          <t>2019-12-14</t>
        </is>
      </c>
      <c r="I109" t="inlineStr">
        <is>
          <t>Or</t>
        </is>
      </c>
      <c r="J109" t="inlineStr">
        <is>
          <t>Comptant</t>
        </is>
      </c>
      <c r="K109" t="n">
        <v>500000</v>
      </c>
    </row>
    <row r="110">
      <c r="A110" t="n">
        <v>6563</v>
      </c>
      <c r="B110" t="inlineStr">
        <is>
          <t>Societe g</t>
        </is>
      </c>
      <c r="C110" t="inlineStr">
        <is>
          <t>Professionnel</t>
        </is>
      </c>
      <c r="D110" t="inlineStr">
        <is>
          <t>Bobo-Dioulasso</t>
        </is>
      </c>
      <c r="E110" t="inlineStr">
        <is>
          <t>Hauts-Bassins</t>
        </is>
      </c>
      <c r="F110" t="inlineStr">
        <is>
          <t>+226 78 24 72 41 13</t>
        </is>
      </c>
      <c r="G110" t="inlineStr">
        <is>
          <t>contact6563@gmail.com</t>
        </is>
      </c>
      <c r="H110" t="inlineStr">
        <is>
          <t>2016-03-30</t>
        </is>
      </c>
      <c r="I110" t="inlineStr">
        <is>
          <t>Argent</t>
        </is>
      </c>
      <c r="J110" t="inlineStr">
        <is>
          <t>Comptant</t>
        </is>
      </c>
      <c r="K110" t="n">
        <v>500000</v>
      </c>
    </row>
    <row r="111">
      <c r="A111" t="n">
        <v>6584</v>
      </c>
      <c r="B111" t="inlineStr">
        <is>
          <t>Menage 06584</t>
        </is>
      </c>
      <c r="C111" t="inlineStr">
        <is>
          <t>Particulier</t>
        </is>
      </c>
      <c r="D111" t="inlineStr">
        <is>
          <t>Bobo-Dioulasso</t>
        </is>
      </c>
      <c r="E111" t="inlineStr">
        <is>
          <t>Hauts-Bassins</t>
        </is>
      </c>
      <c r="F111" t="inlineStr">
        <is>
          <t>+226 78 25 99 55 90</t>
        </is>
      </c>
      <c r="H111" t="inlineStr">
        <is>
          <t>2019-04-29</t>
        </is>
      </c>
      <c r="I111" t="inlineStr">
        <is>
          <t>Standard</t>
        </is>
      </c>
      <c r="J111" t="inlineStr">
        <is>
          <t>Comptant</t>
        </is>
      </c>
      <c r="K111" t="n">
        <v>0</v>
      </c>
    </row>
    <row r="112">
      <c r="A112" t="n">
        <v>6600</v>
      </c>
      <c r="B112" t="inlineStr">
        <is>
          <t>Menage 06600</t>
        </is>
      </c>
      <c r="C112" t="inlineStr">
        <is>
          <t>Particulier</t>
        </is>
      </c>
      <c r="D112" t="inlineStr">
        <is>
          <t>Bobo-Dioulasso</t>
        </is>
      </c>
      <c r="E112" t="inlineStr">
        <is>
          <t>Hauts-Bassins</t>
        </is>
      </c>
      <c r="F112" t="inlineStr">
        <is>
          <t>+226 78 34 66 32 69</t>
        </is>
      </c>
      <c r="H112" t="inlineStr">
        <is>
          <t>2022-11-30</t>
        </is>
      </c>
      <c r="I112" t="inlineStr">
        <is>
          <t>Argent</t>
        </is>
      </c>
      <c r="J112" t="inlineStr">
        <is>
          <t>30 j</t>
        </is>
      </c>
      <c r="K112" t="n">
        <v>500000</v>
      </c>
    </row>
    <row r="113">
      <c r="A113" t="n">
        <v>6608</v>
      </c>
      <c r="B113" t="inlineStr">
        <is>
          <t>Menage 06608</t>
        </is>
      </c>
      <c r="C113" t="inlineStr">
        <is>
          <t>Particulier</t>
        </is>
      </c>
      <c r="D113" t="inlineStr">
        <is>
          <t>Ouagadougou</t>
        </is>
      </c>
      <c r="E113" t="inlineStr">
        <is>
          <t>Centre</t>
        </is>
      </c>
      <c r="F113" t="inlineStr">
        <is>
          <t>+226 71 68 47 29 37</t>
        </is>
      </c>
      <c r="H113" t="inlineStr">
        <is>
          <t>2023-09-02</t>
        </is>
      </c>
      <c r="I113" t="inlineStr">
        <is>
          <t>Standard</t>
        </is>
      </c>
      <c r="J113" t="inlineStr">
        <is>
          <t>30 j</t>
        </is>
      </c>
      <c r="K113" t="n">
        <v>1500000</v>
      </c>
    </row>
    <row r="114">
      <c r="A114" t="n">
        <v>6619</v>
      </c>
      <c r="B114" t="inlineStr">
        <is>
          <t>Menage 06619</t>
        </is>
      </c>
      <c r="C114" t="inlineStr">
        <is>
          <t>Particulier</t>
        </is>
      </c>
      <c r="D114" t="inlineStr">
        <is>
          <t>Ziniaré</t>
        </is>
      </c>
      <c r="E114" t="inlineStr">
        <is>
          <t>Plateau-Central</t>
        </is>
      </c>
      <c r="F114" t="inlineStr">
        <is>
          <t>+226 72 42 83 99 25</t>
        </is>
      </c>
      <c r="H114" t="inlineStr">
        <is>
          <t>2016-04-30</t>
        </is>
      </c>
      <c r="I114" t="inlineStr">
        <is>
          <t>Argent</t>
        </is>
      </c>
      <c r="J114" t="inlineStr">
        <is>
          <t>Comptant</t>
        </is>
      </c>
      <c r="K114" t="n">
        <v>250000</v>
      </c>
    </row>
    <row r="115">
      <c r="A115" t="n">
        <v>6878</v>
      </c>
      <c r="B115" t="inlineStr">
        <is>
          <t>Societe n</t>
        </is>
      </c>
      <c r="C115" t="inlineStr">
        <is>
          <t>Professionnel</t>
        </is>
      </c>
      <c r="D115" t="inlineStr">
        <is>
          <t>Ouagadougou</t>
        </is>
      </c>
      <c r="E115" t="inlineStr">
        <is>
          <t>Centre</t>
        </is>
      </c>
      <c r="F115" t="inlineStr">
        <is>
          <t>+226 72 75 39 34 80</t>
        </is>
      </c>
      <c r="G115" t="inlineStr">
        <is>
          <t>contact6878@gmail.com</t>
        </is>
      </c>
      <c r="H115" t="inlineStr">
        <is>
          <t>2024-08-28</t>
        </is>
      </c>
      <c r="I115" t="inlineStr">
        <is>
          <t>Argent</t>
        </is>
      </c>
      <c r="J115" t="inlineStr">
        <is>
          <t>30 j</t>
        </is>
      </c>
      <c r="K115" t="n">
        <v>500000</v>
      </c>
    </row>
    <row r="116">
      <c r="A116" t="n">
        <v>6946</v>
      </c>
      <c r="B116" t="inlineStr">
        <is>
          <t>Menage 06946</t>
        </is>
      </c>
      <c r="C116" t="inlineStr">
        <is>
          <t>Particulier</t>
        </is>
      </c>
      <c r="D116" t="inlineStr">
        <is>
          <t>Ziniaré</t>
        </is>
      </c>
      <c r="E116" t="inlineStr">
        <is>
          <t>Plateau-Central</t>
        </is>
      </c>
      <c r="F116" t="inlineStr">
        <is>
          <t>+226 70 18 98 82 90</t>
        </is>
      </c>
      <c r="H116" t="inlineStr">
        <is>
          <t>2020-04-08</t>
        </is>
      </c>
      <c r="I116" t="inlineStr">
        <is>
          <t>Or</t>
        </is>
      </c>
      <c r="J116" t="inlineStr">
        <is>
          <t>Comptant</t>
        </is>
      </c>
      <c r="K116" t="n">
        <v>500000</v>
      </c>
    </row>
    <row r="117">
      <c r="A117" t="n">
        <v>6961</v>
      </c>
      <c r="B117" t="inlineStr">
        <is>
          <t>Menage 06961</t>
        </is>
      </c>
      <c r="C117" t="inlineStr">
        <is>
          <t>Particulier</t>
        </is>
      </c>
      <c r="D117" t="inlineStr">
        <is>
          <t>Ouagadougou</t>
        </is>
      </c>
      <c r="E117" t="inlineStr">
        <is>
          <t>Centre</t>
        </is>
      </c>
      <c r="F117" t="inlineStr">
        <is>
          <t>+226 74 70 37 36 85</t>
        </is>
      </c>
      <c r="H117" t="inlineStr">
        <is>
          <t>2019-02-20</t>
        </is>
      </c>
      <c r="I117" t="inlineStr">
        <is>
          <t>Or</t>
        </is>
      </c>
      <c r="J117" t="inlineStr">
        <is>
          <t>Comptant</t>
        </is>
      </c>
      <c r="K117" t="n">
        <v>0</v>
      </c>
    </row>
    <row r="118">
      <c r="A118" t="n">
        <v>6969</v>
      </c>
      <c r="B118" t="inlineStr">
        <is>
          <t>Menage 06969</t>
        </is>
      </c>
      <c r="C118" t="inlineStr">
        <is>
          <t>Particulier</t>
        </is>
      </c>
      <c r="D118" t="inlineStr">
        <is>
          <t>Ouagadougou</t>
        </is>
      </c>
      <c r="E118" t="inlineStr">
        <is>
          <t>Centre</t>
        </is>
      </c>
      <c r="F118" t="inlineStr">
        <is>
          <t>+226 72 88 39 47 99</t>
        </is>
      </c>
      <c r="H118" t="inlineStr">
        <is>
          <t>2022-11-04</t>
        </is>
      </c>
      <c r="I118" t="inlineStr">
        <is>
          <t>Standard</t>
        </is>
      </c>
      <c r="J118" t="inlineStr">
        <is>
          <t>Comptant</t>
        </is>
      </c>
      <c r="K118" t="n">
        <v>250000</v>
      </c>
    </row>
    <row r="119">
      <c r="A119" t="n">
        <v>7108</v>
      </c>
      <c r="B119" t="inlineStr">
        <is>
          <t>Chantiers S</t>
        </is>
      </c>
      <c r="C119" t="inlineStr">
        <is>
          <t>Entreprise</t>
        </is>
      </c>
      <c r="D119" t="inlineStr">
        <is>
          <t>Koudougou</t>
        </is>
      </c>
      <c r="E119" t="inlineStr">
        <is>
          <t>Centre-Ouest</t>
        </is>
      </c>
      <c r="F119" t="inlineStr">
        <is>
          <t>+226 71 45 88 24 73</t>
        </is>
      </c>
      <c r="G119" t="inlineStr">
        <is>
          <t>contact7108@outlook.fr</t>
        </is>
      </c>
      <c r="H119" t="inlineStr">
        <is>
          <t>2024-12-21</t>
        </is>
      </c>
      <c r="I119" t="inlineStr">
        <is>
          <t>Standard</t>
        </is>
      </c>
      <c r="J119" t="inlineStr">
        <is>
          <t>Comptant</t>
        </is>
      </c>
      <c r="K119" t="n">
        <v>0</v>
      </c>
    </row>
    <row r="120">
      <c r="A120" t="n">
        <v>7110</v>
      </c>
      <c r="B120" t="inlineStr">
        <is>
          <t>Societe n</t>
        </is>
      </c>
      <c r="C120" t="inlineStr">
        <is>
          <t>Professionnel</t>
        </is>
      </c>
      <c r="D120" t="inlineStr">
        <is>
          <t>Ouagadougou</t>
        </is>
      </c>
      <c r="E120" t="inlineStr">
        <is>
          <t>Centre</t>
        </is>
      </c>
      <c r="F120" t="inlineStr">
        <is>
          <t>+226 78 29 72 83 13</t>
        </is>
      </c>
      <c r="G120" t="inlineStr">
        <is>
          <t>contact7110@yahoo.fr</t>
        </is>
      </c>
      <c r="H120" t="inlineStr">
        <is>
          <t>2024-07-27</t>
        </is>
      </c>
      <c r="I120" t="inlineStr">
        <is>
          <t>Argent</t>
        </is>
      </c>
      <c r="J120" t="inlineStr">
        <is>
          <t>Comptant</t>
        </is>
      </c>
      <c r="K120" t="n">
        <v>0</v>
      </c>
    </row>
    <row r="121">
      <c r="A121" t="n">
        <v>7120</v>
      </c>
      <c r="B121" t="inlineStr">
        <is>
          <t>Menage 07120</t>
        </is>
      </c>
      <c r="C121" t="inlineStr">
        <is>
          <t>Particulier</t>
        </is>
      </c>
      <c r="D121" t="inlineStr">
        <is>
          <t>Bobo-Dioulasso</t>
        </is>
      </c>
      <c r="E121" t="inlineStr">
        <is>
          <t>Hauts-Bassins</t>
        </is>
      </c>
      <c r="F121" t="inlineStr">
        <is>
          <t>+226 76 56 98 80 56</t>
        </is>
      </c>
      <c r="H121" t="inlineStr">
        <is>
          <t>2018-09-22</t>
        </is>
      </c>
      <c r="I121" t="inlineStr">
        <is>
          <t>Or</t>
        </is>
      </c>
      <c r="J121" t="inlineStr">
        <is>
          <t>30 j</t>
        </is>
      </c>
      <c r="K121" t="n">
        <v>0</v>
      </c>
    </row>
    <row r="122">
      <c r="A122" t="n">
        <v>7139</v>
      </c>
      <c r="B122" t="inlineStr">
        <is>
          <t>Ets S</t>
        </is>
      </c>
      <c r="C122" t="inlineStr">
        <is>
          <t>Professionnel</t>
        </is>
      </c>
      <c r="D122" t="inlineStr">
        <is>
          <t>Ziniaré</t>
        </is>
      </c>
      <c r="E122" t="inlineStr">
        <is>
          <t>Plateau-Central</t>
        </is>
      </c>
      <c r="F122" t="inlineStr">
        <is>
          <t>+226 73 78 90 82 99</t>
        </is>
      </c>
      <c r="G122" t="inlineStr">
        <is>
          <t>contact7139@gmail.com</t>
        </is>
      </c>
      <c r="H122" t="inlineStr">
        <is>
          <t>2024-08-08</t>
        </is>
      </c>
      <c r="I122" t="inlineStr">
        <is>
          <t>Standard</t>
        </is>
      </c>
      <c r="J122" t="inlineStr">
        <is>
          <t>Comptant</t>
        </is>
      </c>
      <c r="K122" t="n">
        <v>250000</v>
      </c>
    </row>
    <row r="123">
      <c r="A123" t="n">
        <v>7317</v>
      </c>
      <c r="B123" t="inlineStr">
        <is>
          <t>SARL o</t>
        </is>
      </c>
      <c r="C123" t="inlineStr">
        <is>
          <t>Professionnel</t>
        </is>
      </c>
      <c r="D123" t="inlineStr">
        <is>
          <t>Koudougou</t>
        </is>
      </c>
      <c r="E123" t="inlineStr">
        <is>
          <t>Centre-Ouest</t>
        </is>
      </c>
      <c r="F123" t="inlineStr">
        <is>
          <t>+226 72 74 16 63 35</t>
        </is>
      </c>
      <c r="H123" t="inlineStr">
        <is>
          <t>2019-11-04</t>
        </is>
      </c>
      <c r="I123" t="inlineStr">
        <is>
          <t>Standard</t>
        </is>
      </c>
      <c r="J123" t="inlineStr">
        <is>
          <t>30 j</t>
        </is>
      </c>
      <c r="K123" t="n">
        <v>1500000</v>
      </c>
    </row>
    <row r="124">
      <c r="A124" t="n">
        <v>7357</v>
      </c>
      <c r="B124" t="inlineStr">
        <is>
          <t>Menage 07357</t>
        </is>
      </c>
      <c r="C124" t="inlineStr">
        <is>
          <t>Particulier</t>
        </is>
      </c>
      <c r="D124" t="inlineStr">
        <is>
          <t>Koudougou</t>
        </is>
      </c>
      <c r="E124" t="inlineStr">
        <is>
          <t>Centre-Ouest</t>
        </is>
      </c>
      <c r="F124" t="inlineStr">
        <is>
          <t>+226 71 35 84 32 44</t>
        </is>
      </c>
      <c r="H124" t="inlineStr">
        <is>
          <t>2017-07-30</t>
        </is>
      </c>
      <c r="I124" t="inlineStr">
        <is>
          <t>Argent</t>
        </is>
      </c>
      <c r="J124" t="inlineStr">
        <is>
          <t>60 j</t>
        </is>
      </c>
      <c r="K124" t="n">
        <v>0</v>
      </c>
    </row>
    <row r="125">
      <c r="A125" t="n">
        <v>7375</v>
      </c>
      <c r="B125" t="inlineStr">
        <is>
          <t>SARL o</t>
        </is>
      </c>
      <c r="C125" t="inlineStr">
        <is>
          <t>Professionnel</t>
        </is>
      </c>
      <c r="D125" t="inlineStr">
        <is>
          <t>Kaya</t>
        </is>
      </c>
      <c r="E125" t="inlineStr">
        <is>
          <t>Centre-Nord</t>
        </is>
      </c>
      <c r="F125" t="inlineStr">
        <is>
          <t>+226 74 69 97 24 99</t>
        </is>
      </c>
      <c r="G125" t="inlineStr">
        <is>
          <t>contact7375@yahoo.fr</t>
        </is>
      </c>
      <c r="H125" t="inlineStr">
        <is>
          <t>2020-11-14</t>
        </is>
      </c>
      <c r="I125" t="inlineStr">
        <is>
          <t>Standard</t>
        </is>
      </c>
      <c r="J125" t="inlineStr">
        <is>
          <t>30 j</t>
        </is>
      </c>
      <c r="K125" t="n">
        <v>0</v>
      </c>
    </row>
    <row r="126">
      <c r="A126" t="n">
        <v>7419</v>
      </c>
      <c r="B126" t="inlineStr">
        <is>
          <t>Menage 07419</t>
        </is>
      </c>
      <c r="C126" t="inlineStr">
        <is>
          <t>Particulier</t>
        </is>
      </c>
      <c r="D126" t="inlineStr">
        <is>
          <t>Kaya</t>
        </is>
      </c>
      <c r="E126" t="inlineStr">
        <is>
          <t>Centre-Nord</t>
        </is>
      </c>
      <c r="F126" t="inlineStr">
        <is>
          <t>+226 72 39 25 73 50</t>
        </is>
      </c>
      <c r="H126" t="inlineStr">
        <is>
          <t>2024-09-05</t>
        </is>
      </c>
      <c r="I126" t="inlineStr">
        <is>
          <t>Standard</t>
        </is>
      </c>
      <c r="J126" t="inlineStr">
        <is>
          <t>30 j</t>
        </is>
      </c>
      <c r="K126" t="n">
        <v>250000</v>
      </c>
    </row>
    <row r="127">
      <c r="A127" t="n">
        <v>7489</v>
      </c>
      <c r="B127" t="inlineStr">
        <is>
          <t>Ets r</t>
        </is>
      </c>
      <c r="C127" t="inlineStr">
        <is>
          <t>Professionnel</t>
        </is>
      </c>
      <c r="D127" t="inlineStr">
        <is>
          <t>Bobo-Dioulasso</t>
        </is>
      </c>
      <c r="E127" t="inlineStr">
        <is>
          <t>Hauts-Bassins</t>
        </is>
      </c>
      <c r="F127" t="inlineStr">
        <is>
          <t>+226 71 45 78 62 65</t>
        </is>
      </c>
      <c r="G127" t="inlineStr">
        <is>
          <t>contact7489@outlook.fr</t>
        </is>
      </c>
      <c r="H127" t="inlineStr">
        <is>
          <t>2021-09-02</t>
        </is>
      </c>
      <c r="I127" t="inlineStr">
        <is>
          <t>Standard</t>
        </is>
      </c>
      <c r="J127" t="inlineStr">
        <is>
          <t>Comptant</t>
        </is>
      </c>
      <c r="K127" t="n">
        <v>0</v>
      </c>
    </row>
    <row r="128">
      <c r="A128" t="n">
        <v>7529</v>
      </c>
      <c r="B128" t="inlineStr">
        <is>
          <t>Menage 07529</t>
        </is>
      </c>
      <c r="C128" t="inlineStr">
        <is>
          <t>Particulier</t>
        </is>
      </c>
      <c r="D128" t="inlineStr">
        <is>
          <t>Bobo-Dioulasso</t>
        </is>
      </c>
      <c r="E128" t="inlineStr">
        <is>
          <t>Hauts-Bassins</t>
        </is>
      </c>
      <c r="F128" t="inlineStr">
        <is>
          <t>+226 77 91 66 22 33</t>
        </is>
      </c>
      <c r="H128" t="inlineStr">
        <is>
          <t>2023-10-29</t>
        </is>
      </c>
      <c r="I128" t="inlineStr">
        <is>
          <t>Standard</t>
        </is>
      </c>
      <c r="J128" t="inlineStr">
        <is>
          <t>Comptant</t>
        </is>
      </c>
      <c r="K128" t="n">
        <v>0</v>
      </c>
    </row>
    <row r="129">
      <c r="A129" t="n">
        <v>7683</v>
      </c>
      <c r="B129" t="inlineStr">
        <is>
          <t>Menage 07683</t>
        </is>
      </c>
      <c r="C129" t="inlineStr">
        <is>
          <t>Particulier</t>
        </is>
      </c>
      <c r="D129" t="inlineStr">
        <is>
          <t>Bobo-Dioulasso</t>
        </is>
      </c>
      <c r="E129" t="inlineStr">
        <is>
          <t>Hauts-Bassins</t>
        </is>
      </c>
      <c r="F129" t="inlineStr">
        <is>
          <t>+226 74 62 33 50 26</t>
        </is>
      </c>
      <c r="H129" t="inlineStr">
        <is>
          <t>2018-10-18</t>
        </is>
      </c>
      <c r="I129" t="inlineStr">
        <is>
          <t>Standard</t>
        </is>
      </c>
      <c r="J129" t="inlineStr">
        <is>
          <t>30 j</t>
        </is>
      </c>
      <c r="K129" t="n">
        <v>0</v>
      </c>
    </row>
    <row r="130">
      <c r="A130" t="n">
        <v>7687</v>
      </c>
      <c r="B130" t="inlineStr">
        <is>
          <t>Menage 07687</t>
        </is>
      </c>
      <c r="C130" t="inlineStr">
        <is>
          <t>Particulier</t>
        </is>
      </c>
      <c r="D130" t="inlineStr">
        <is>
          <t>Ouagadougou</t>
        </is>
      </c>
      <c r="E130" t="inlineStr">
        <is>
          <t>Centre</t>
        </is>
      </c>
      <c r="F130" t="inlineStr">
        <is>
          <t>+226 73 99 86 51 93</t>
        </is>
      </c>
      <c r="H130" t="inlineStr">
        <is>
          <t>2021-01-07</t>
        </is>
      </c>
      <c r="I130" t="inlineStr">
        <is>
          <t>Standard</t>
        </is>
      </c>
      <c r="J130" t="inlineStr">
        <is>
          <t>Comptant</t>
        </is>
      </c>
      <c r="K130" t="n">
        <v>0</v>
      </c>
    </row>
    <row r="131">
      <c r="A131" t="n">
        <v>7693</v>
      </c>
      <c r="B131" t="inlineStr">
        <is>
          <t>Menage 07693</t>
        </is>
      </c>
      <c r="C131" t="inlineStr">
        <is>
          <t>Particulier</t>
        </is>
      </c>
      <c r="D131" t="inlineStr">
        <is>
          <t>Ouagadougou</t>
        </is>
      </c>
      <c r="E131" t="inlineStr">
        <is>
          <t>Centre</t>
        </is>
      </c>
      <c r="F131" t="inlineStr">
        <is>
          <t>+226 73 18 68 57 13</t>
        </is>
      </c>
      <c r="H131" t="inlineStr">
        <is>
          <t>2021-06-11</t>
        </is>
      </c>
      <c r="I131" t="inlineStr">
        <is>
          <t>Or</t>
        </is>
      </c>
      <c r="J131" t="inlineStr">
        <is>
          <t>30 j</t>
        </is>
      </c>
      <c r="K131" t="n">
        <v>0</v>
      </c>
    </row>
    <row r="132">
      <c r="A132" t="n">
        <v>7706</v>
      </c>
      <c r="B132" t="inlineStr">
        <is>
          <t>Chantiers k</t>
        </is>
      </c>
      <c r="C132" t="inlineStr">
        <is>
          <t>Entreprise</t>
        </is>
      </c>
      <c r="D132" t="inlineStr">
        <is>
          <t>Ouagadougou</t>
        </is>
      </c>
      <c r="E132" t="inlineStr">
        <is>
          <t>Centre</t>
        </is>
      </c>
      <c r="F132" t="inlineStr">
        <is>
          <t>+226 70 59 75 29 83</t>
        </is>
      </c>
      <c r="H132" t="inlineStr">
        <is>
          <t>2024-11-25</t>
        </is>
      </c>
      <c r="I132" t="inlineStr">
        <is>
          <t>Argent</t>
        </is>
      </c>
      <c r="J132" t="inlineStr">
        <is>
          <t>30 j</t>
        </is>
      </c>
      <c r="K132" t="n">
        <v>250000</v>
      </c>
    </row>
    <row r="133">
      <c r="A133" t="n">
        <v>7824</v>
      </c>
      <c r="B133" t="inlineStr">
        <is>
          <t>Menage 07824</t>
        </is>
      </c>
      <c r="C133" t="inlineStr">
        <is>
          <t>Particulier</t>
        </is>
      </c>
      <c r="D133" t="inlineStr">
        <is>
          <t>Ziniaré</t>
        </is>
      </c>
      <c r="E133" t="inlineStr">
        <is>
          <t>Plateau-Central</t>
        </is>
      </c>
      <c r="F133" t="inlineStr">
        <is>
          <t>+226 77 26 19 25 24</t>
        </is>
      </c>
      <c r="H133" t="inlineStr">
        <is>
          <t>2025-11-08</t>
        </is>
      </c>
      <c r="I133" t="inlineStr">
        <is>
          <t>Standard</t>
        </is>
      </c>
      <c r="J133" t="inlineStr">
        <is>
          <t>30 j</t>
        </is>
      </c>
      <c r="K133" t="n">
        <v>0</v>
      </c>
    </row>
    <row r="134">
      <c r="A134" t="n">
        <v>7845</v>
      </c>
      <c r="B134" t="inlineStr">
        <is>
          <t>Chantiers r</t>
        </is>
      </c>
      <c r="C134" t="inlineStr">
        <is>
          <t>Professionnel</t>
        </is>
      </c>
      <c r="D134" t="inlineStr">
        <is>
          <t>Bobo-Dioulasso</t>
        </is>
      </c>
      <c r="E134" t="inlineStr">
        <is>
          <t>Hauts-Bassins</t>
        </is>
      </c>
      <c r="F134" t="inlineStr">
        <is>
          <t>+226 73 24 36 24 88</t>
        </is>
      </c>
      <c r="G134" t="inlineStr">
        <is>
          <t>contact7845@outlook.fr</t>
        </is>
      </c>
      <c r="H134" t="inlineStr">
        <is>
          <t>2024-10-02</t>
        </is>
      </c>
      <c r="I134" t="inlineStr">
        <is>
          <t>Standard</t>
        </is>
      </c>
      <c r="J134" t="inlineStr">
        <is>
          <t>Comptant</t>
        </is>
      </c>
      <c r="K134" t="n">
        <v>0</v>
      </c>
    </row>
    <row r="135">
      <c r="A135" t="n">
        <v>7932</v>
      </c>
      <c r="B135" t="inlineStr">
        <is>
          <t>Menage 07932</t>
        </is>
      </c>
      <c r="C135" t="inlineStr">
        <is>
          <t>Particulier</t>
        </is>
      </c>
      <c r="D135" t="inlineStr">
        <is>
          <t>Ouagadougou</t>
        </is>
      </c>
      <c r="E135" t="inlineStr">
        <is>
          <t>Centre</t>
        </is>
      </c>
      <c r="F135" t="inlineStr">
        <is>
          <t>+226 70 15 48 53 98</t>
        </is>
      </c>
      <c r="H135" t="inlineStr">
        <is>
          <t>2021-09-05</t>
        </is>
      </c>
      <c r="I135" t="inlineStr">
        <is>
          <t>Or</t>
        </is>
      </c>
      <c r="J135" t="inlineStr">
        <is>
          <t>Comptant</t>
        </is>
      </c>
      <c r="K135" t="n">
        <v>0</v>
      </c>
    </row>
    <row r="136">
      <c r="A136" t="n">
        <v>8234</v>
      </c>
      <c r="B136" t="inlineStr">
        <is>
          <t>Societe t</t>
        </is>
      </c>
      <c r="C136" t="inlineStr">
        <is>
          <t>Professionnel</t>
        </is>
      </c>
      <c r="D136" t="inlineStr">
        <is>
          <t>Bobo-Dioulasso</t>
        </is>
      </c>
      <c r="E136" t="inlineStr">
        <is>
          <t>Hauts-Bassins</t>
        </is>
      </c>
      <c r="F136" t="inlineStr">
        <is>
          <t>+226 79 79 30 22 64</t>
        </is>
      </c>
      <c r="G136" t="inlineStr">
        <is>
          <t>contact8234@entreprise.bf</t>
        </is>
      </c>
      <c r="H136" t="inlineStr">
        <is>
          <t>2020-12-04</t>
        </is>
      </c>
      <c r="I136" t="inlineStr">
        <is>
          <t>Standard</t>
        </is>
      </c>
      <c r="J136" t="inlineStr">
        <is>
          <t>Comptant</t>
        </is>
      </c>
      <c r="K136" t="n">
        <v>0</v>
      </c>
    </row>
    <row r="137">
      <c r="A137" t="n">
        <v>8539</v>
      </c>
      <c r="B137" t="inlineStr">
        <is>
          <t>Menage 08539</t>
        </is>
      </c>
      <c r="C137" t="inlineStr">
        <is>
          <t>Particulier</t>
        </is>
      </c>
      <c r="D137" t="inlineStr">
        <is>
          <t>Bobo-Dioulasso</t>
        </is>
      </c>
      <c r="E137" t="inlineStr">
        <is>
          <t>Hauts-Bassins</t>
        </is>
      </c>
      <c r="F137" t="inlineStr">
        <is>
          <t>+226 76 38 61 62 84</t>
        </is>
      </c>
      <c r="H137" t="inlineStr">
        <is>
          <t>2018-07-26</t>
        </is>
      </c>
      <c r="I137" t="inlineStr">
        <is>
          <t>Standard</t>
        </is>
      </c>
      <c r="J137" t="inlineStr">
        <is>
          <t>Comptant</t>
        </is>
      </c>
      <c r="K137" t="n">
        <v>250000</v>
      </c>
    </row>
    <row r="138">
      <c r="A138" t="n">
        <v>8620</v>
      </c>
      <c r="B138" t="inlineStr">
        <is>
          <t>Chantiers a</t>
        </is>
      </c>
      <c r="C138" t="inlineStr">
        <is>
          <t>Professionnel</t>
        </is>
      </c>
      <c r="D138" t="inlineStr">
        <is>
          <t>Bobo-Dioulasso</t>
        </is>
      </c>
      <c r="E138" t="inlineStr">
        <is>
          <t>Hauts-Bassins</t>
        </is>
      </c>
      <c r="F138" t="inlineStr">
        <is>
          <t>+226 78 10 17 92 18</t>
        </is>
      </c>
      <c r="G138" t="inlineStr">
        <is>
          <t>contact8620@entreprise.bf</t>
        </is>
      </c>
      <c r="H138" t="inlineStr">
        <is>
          <t>2016-06-25</t>
        </is>
      </c>
      <c r="I138" t="inlineStr">
        <is>
          <t>Standard</t>
        </is>
      </c>
      <c r="J138" t="inlineStr">
        <is>
          <t>Comptant</t>
        </is>
      </c>
      <c r="K138" t="n">
        <v>0</v>
      </c>
    </row>
    <row r="139">
      <c r="A139" t="n">
        <v>8677</v>
      </c>
      <c r="B139" t="inlineStr">
        <is>
          <t>Societe a</t>
        </is>
      </c>
      <c r="C139" t="inlineStr">
        <is>
          <t>Entreprise</t>
        </is>
      </c>
      <c r="D139" t="inlineStr">
        <is>
          <t>Bobo-Dioulasso</t>
        </is>
      </c>
      <c r="E139" t="inlineStr">
        <is>
          <t>Hauts-Bassins</t>
        </is>
      </c>
      <c r="F139" t="inlineStr">
        <is>
          <t>+226 79 19 79 89 89</t>
        </is>
      </c>
      <c r="G139" t="inlineStr">
        <is>
          <t>contact8677@outlook.fr</t>
        </is>
      </c>
      <c r="H139" t="inlineStr">
        <is>
          <t>2018-02-05</t>
        </is>
      </c>
      <c r="I139" t="inlineStr">
        <is>
          <t>Standard</t>
        </is>
      </c>
      <c r="J139" t="inlineStr">
        <is>
          <t>Comptant</t>
        </is>
      </c>
      <c r="K139" t="n">
        <v>250000</v>
      </c>
    </row>
    <row r="140">
      <c r="A140" t="n">
        <v>8700</v>
      </c>
      <c r="B140" t="inlineStr">
        <is>
          <t>Menage 08700</t>
        </is>
      </c>
      <c r="C140" t="inlineStr">
        <is>
          <t>Particulier</t>
        </is>
      </c>
      <c r="D140" t="inlineStr">
        <is>
          <t>Koudougou</t>
        </is>
      </c>
      <c r="E140" t="inlineStr">
        <is>
          <t>Centre-Ouest</t>
        </is>
      </c>
      <c r="F140" t="inlineStr">
        <is>
          <t>+226 74 36 40 98 96</t>
        </is>
      </c>
      <c r="H140" t="inlineStr">
        <is>
          <t>2025-06-19</t>
        </is>
      </c>
      <c r="I140" t="inlineStr">
        <is>
          <t>Standard</t>
        </is>
      </c>
      <c r="J140" t="inlineStr">
        <is>
          <t>30 j</t>
        </is>
      </c>
      <c r="K140" t="n">
        <v>0</v>
      </c>
    </row>
    <row r="141">
      <c r="A141" t="n">
        <v>8718</v>
      </c>
      <c r="B141" t="inlineStr">
        <is>
          <t>Menage 08718</t>
        </is>
      </c>
      <c r="C141" t="inlineStr">
        <is>
          <t>Particulier</t>
        </is>
      </c>
      <c r="D141" t="inlineStr">
        <is>
          <t>Ouagadougou</t>
        </is>
      </c>
      <c r="E141" t="inlineStr">
        <is>
          <t>Centre</t>
        </is>
      </c>
      <c r="F141" t="inlineStr">
        <is>
          <t>+226 76 57 27 72 28</t>
        </is>
      </c>
      <c r="H141" t="inlineStr">
        <is>
          <t>2024-04-18</t>
        </is>
      </c>
      <c r="I141" t="inlineStr">
        <is>
          <t>Standard</t>
        </is>
      </c>
      <c r="J141" t="inlineStr">
        <is>
          <t>Comptant</t>
        </is>
      </c>
      <c r="K141" t="n">
        <v>250000</v>
      </c>
    </row>
    <row r="142">
      <c r="A142" t="n">
        <v>8744</v>
      </c>
      <c r="B142" t="inlineStr">
        <is>
          <t>Menage 08744</t>
        </is>
      </c>
      <c r="C142" t="inlineStr">
        <is>
          <t>Particulier</t>
        </is>
      </c>
      <c r="D142" t="inlineStr">
        <is>
          <t>Ouagadougou</t>
        </is>
      </c>
      <c r="E142" t="inlineStr">
        <is>
          <t>Centre</t>
        </is>
      </c>
      <c r="F142" t="inlineStr">
        <is>
          <t>+226 71 51 81 28 90</t>
        </is>
      </c>
      <c r="H142" t="inlineStr">
        <is>
          <t>2025-04-21</t>
        </is>
      </c>
      <c r="I142" t="inlineStr">
        <is>
          <t>Argent</t>
        </is>
      </c>
      <c r="J142" t="inlineStr">
        <is>
          <t>30 j</t>
        </is>
      </c>
      <c r="K142" t="n">
        <v>0</v>
      </c>
    </row>
    <row r="143">
      <c r="A143" t="n">
        <v>8920</v>
      </c>
      <c r="B143" t="inlineStr">
        <is>
          <t>Ets a</t>
        </is>
      </c>
      <c r="C143" t="inlineStr">
        <is>
          <t>Professionnel</t>
        </is>
      </c>
      <c r="D143" t="inlineStr">
        <is>
          <t>Ouagadougou</t>
        </is>
      </c>
      <c r="E143" t="inlineStr">
        <is>
          <t>Centre</t>
        </is>
      </c>
      <c r="F143" t="inlineStr">
        <is>
          <t>+226 78 49 73 41 20</t>
        </is>
      </c>
      <c r="G143" t="inlineStr">
        <is>
          <t>contact8920@outlook.fr</t>
        </is>
      </c>
      <c r="H143" t="inlineStr">
        <is>
          <t>2022-05-02</t>
        </is>
      </c>
      <c r="I143" t="inlineStr">
        <is>
          <t>Argent</t>
        </is>
      </c>
      <c r="J143" t="inlineStr">
        <is>
          <t>30 j</t>
        </is>
      </c>
      <c r="K143" t="n">
        <v>250000</v>
      </c>
    </row>
    <row r="144">
      <c r="A144" t="n">
        <v>8926</v>
      </c>
      <c r="B144" t="inlineStr">
        <is>
          <t>Menage 08926</t>
        </is>
      </c>
      <c r="C144" t="inlineStr">
        <is>
          <t>Particulier</t>
        </is>
      </c>
      <c r="D144" t="inlineStr">
        <is>
          <t>Ouagadougou</t>
        </is>
      </c>
      <c r="E144" t="inlineStr">
        <is>
          <t>Centre</t>
        </is>
      </c>
      <c r="F144" t="inlineStr">
        <is>
          <t>+226 74 45 42 41 54</t>
        </is>
      </c>
      <c r="H144" t="inlineStr">
        <is>
          <t>2016-12-07</t>
        </is>
      </c>
      <c r="I144" t="inlineStr">
        <is>
          <t>Argent</t>
        </is>
      </c>
      <c r="J144" t="inlineStr">
        <is>
          <t>Comptant</t>
        </is>
      </c>
      <c r="K144" t="n">
        <v>1500000</v>
      </c>
    </row>
    <row r="145">
      <c r="A145" t="n">
        <v>9061</v>
      </c>
      <c r="B145" t="inlineStr">
        <is>
          <t>Societe o</t>
        </is>
      </c>
      <c r="C145" t="inlineStr">
        <is>
          <t>Professionnel</t>
        </is>
      </c>
      <c r="D145" t="inlineStr">
        <is>
          <t>Ouagadougou</t>
        </is>
      </c>
      <c r="E145" t="inlineStr">
        <is>
          <t>Centre</t>
        </is>
      </c>
      <c r="F145" t="inlineStr">
        <is>
          <t>+226 71 69 80 27 51</t>
        </is>
      </c>
      <c r="G145" t="inlineStr">
        <is>
          <t>contact9061@entreprise.bf</t>
        </is>
      </c>
      <c r="H145" t="inlineStr">
        <is>
          <t>2019-12-22</t>
        </is>
      </c>
      <c r="I145" t="inlineStr">
        <is>
          <t>Standard</t>
        </is>
      </c>
      <c r="J145" t="inlineStr">
        <is>
          <t>Comptant</t>
        </is>
      </c>
      <c r="K145" t="n">
        <v>500000</v>
      </c>
    </row>
    <row r="146">
      <c r="A146" t="n">
        <v>9093</v>
      </c>
      <c r="B146" t="inlineStr">
        <is>
          <t>Societe l</t>
        </is>
      </c>
      <c r="C146" t="inlineStr">
        <is>
          <t>Entreprise</t>
        </is>
      </c>
      <c r="D146" t="inlineStr">
        <is>
          <t>Ziniaré</t>
        </is>
      </c>
      <c r="E146" t="inlineStr">
        <is>
          <t>Plateau-Central</t>
        </is>
      </c>
      <c r="F146" t="inlineStr">
        <is>
          <t>+226 77 25 60 48 33</t>
        </is>
      </c>
      <c r="H146" t="inlineStr">
        <is>
          <t>2018-02-04</t>
        </is>
      </c>
      <c r="I146" t="inlineStr">
        <is>
          <t>Standard</t>
        </is>
      </c>
      <c r="J146" t="inlineStr">
        <is>
          <t>Comptant</t>
        </is>
      </c>
      <c r="K146" t="n">
        <v>500000</v>
      </c>
    </row>
    <row r="147">
      <c r="A147" t="n">
        <v>9105</v>
      </c>
      <c r="B147" t="inlineStr">
        <is>
          <t>Menage 09105</t>
        </is>
      </c>
      <c r="C147" t="inlineStr">
        <is>
          <t>Particulier</t>
        </is>
      </c>
      <c r="D147" t="inlineStr">
        <is>
          <t>Bobo-Dioulasso</t>
        </is>
      </c>
      <c r="E147" t="inlineStr">
        <is>
          <t>Hauts-Bassins</t>
        </is>
      </c>
      <c r="F147" t="inlineStr">
        <is>
          <t>+226 75 26 50 46 49</t>
        </is>
      </c>
      <c r="H147" t="inlineStr">
        <is>
          <t>2016-02-08</t>
        </is>
      </c>
      <c r="I147" t="inlineStr">
        <is>
          <t>Argent</t>
        </is>
      </c>
      <c r="J147" t="inlineStr">
        <is>
          <t>30 j</t>
        </is>
      </c>
      <c r="K147" t="n">
        <v>0</v>
      </c>
    </row>
    <row r="148">
      <c r="A148" t="n">
        <v>9106</v>
      </c>
      <c r="B148" t="inlineStr">
        <is>
          <t>Chantiers b</t>
        </is>
      </c>
      <c r="C148" t="inlineStr">
        <is>
          <t>Professionnel</t>
        </is>
      </c>
      <c r="D148" t="inlineStr">
        <is>
          <t>Ouagadougou</t>
        </is>
      </c>
      <c r="E148" t="inlineStr">
        <is>
          <t>Centre</t>
        </is>
      </c>
      <c r="F148" t="inlineStr">
        <is>
          <t>+226 79 80 82 53 73</t>
        </is>
      </c>
      <c r="G148" t="inlineStr">
        <is>
          <t>contact9106@outlook.fr</t>
        </is>
      </c>
      <c r="H148" t="inlineStr">
        <is>
          <t>2023-02-06</t>
        </is>
      </c>
      <c r="I148" t="inlineStr">
        <is>
          <t>Standard</t>
        </is>
      </c>
      <c r="J148" t="inlineStr">
        <is>
          <t>30 j</t>
        </is>
      </c>
      <c r="K148" t="n">
        <v>500000</v>
      </c>
    </row>
    <row r="149">
      <c r="A149" t="n">
        <v>9171</v>
      </c>
      <c r="B149" t="inlineStr">
        <is>
          <t>Menage 09171</t>
        </is>
      </c>
      <c r="C149" t="inlineStr">
        <is>
          <t>Particulier</t>
        </is>
      </c>
      <c r="D149" t="inlineStr">
        <is>
          <t>Koudougou</t>
        </is>
      </c>
      <c r="E149" t="inlineStr">
        <is>
          <t>Centre-Ouest</t>
        </is>
      </c>
      <c r="F149" t="inlineStr">
        <is>
          <t>+226 71 10 77 30 41</t>
        </is>
      </c>
      <c r="H149" t="inlineStr">
        <is>
          <t>2019-02-03</t>
        </is>
      </c>
      <c r="I149" t="inlineStr">
        <is>
          <t>Standard</t>
        </is>
      </c>
      <c r="J149" t="inlineStr">
        <is>
          <t>Comptant</t>
        </is>
      </c>
      <c r="K149" t="n">
        <v>500000</v>
      </c>
    </row>
    <row r="150">
      <c r="A150" t="n">
        <v>9291</v>
      </c>
      <c r="B150" t="inlineStr">
        <is>
          <t>Societe l</t>
        </is>
      </c>
      <c r="C150" t="inlineStr">
        <is>
          <t>Professionnel</t>
        </is>
      </c>
      <c r="D150" t="inlineStr">
        <is>
          <t>Bobo-Dioulasso</t>
        </is>
      </c>
      <c r="E150" t="inlineStr">
        <is>
          <t>Hauts-Bassins</t>
        </is>
      </c>
      <c r="F150" t="inlineStr">
        <is>
          <t>+226 73 16 44 66 14</t>
        </is>
      </c>
      <c r="G150" t="inlineStr">
        <is>
          <t>contact9291@gmail.com</t>
        </is>
      </c>
      <c r="H150" t="inlineStr">
        <is>
          <t>2018-09-21</t>
        </is>
      </c>
      <c r="I150" t="inlineStr">
        <is>
          <t>Standard</t>
        </is>
      </c>
      <c r="J150" t="inlineStr">
        <is>
          <t>Comptant</t>
        </is>
      </c>
      <c r="K150" t="n">
        <v>0</v>
      </c>
    </row>
    <row r="151">
      <c r="A151" t="n">
        <v>9327</v>
      </c>
      <c r="B151" t="inlineStr">
        <is>
          <t>Chantiers Y</t>
        </is>
      </c>
      <c r="C151" t="inlineStr">
        <is>
          <t>Administration</t>
        </is>
      </c>
      <c r="D151" t="inlineStr">
        <is>
          <t>Ouagadougou</t>
        </is>
      </c>
      <c r="E151" t="inlineStr">
        <is>
          <t>Centre</t>
        </is>
      </c>
      <c r="F151" t="inlineStr">
        <is>
          <t>+226 79 62 78 92 30</t>
        </is>
      </c>
      <c r="G151" t="inlineStr">
        <is>
          <t>contact9327@yahoo.fr</t>
        </is>
      </c>
      <c r="H151" t="inlineStr">
        <is>
          <t>2024-12-21</t>
        </is>
      </c>
      <c r="I151" t="inlineStr">
        <is>
          <t>Standard</t>
        </is>
      </c>
      <c r="J151" t="inlineStr">
        <is>
          <t>30 j</t>
        </is>
      </c>
      <c r="K151" t="n">
        <v>0</v>
      </c>
    </row>
    <row r="152">
      <c r="A152" t="n">
        <v>9329</v>
      </c>
      <c r="B152" t="inlineStr">
        <is>
          <t>Societe a</t>
        </is>
      </c>
      <c r="C152" t="inlineStr">
        <is>
          <t>Entreprise</t>
        </is>
      </c>
      <c r="D152" t="inlineStr">
        <is>
          <t>Kaya</t>
        </is>
      </c>
      <c r="E152" t="inlineStr">
        <is>
          <t>Centre-Nord</t>
        </is>
      </c>
      <c r="F152" t="inlineStr">
        <is>
          <t>+226 75 30 85 29 16</t>
        </is>
      </c>
      <c r="H152" t="inlineStr">
        <is>
          <t>2022-11-21</t>
        </is>
      </c>
      <c r="I152" t="inlineStr">
        <is>
          <t>Standard</t>
        </is>
      </c>
      <c r="J152" t="inlineStr">
        <is>
          <t>30 j</t>
        </is>
      </c>
      <c r="K152" t="n">
        <v>500000</v>
      </c>
    </row>
    <row r="153">
      <c r="A153" t="n">
        <v>9379</v>
      </c>
      <c r="B153" t="inlineStr">
        <is>
          <t>Societe d</t>
        </is>
      </c>
      <c r="C153" t="inlineStr">
        <is>
          <t>Administration</t>
        </is>
      </c>
      <c r="D153" t="inlineStr">
        <is>
          <t>Bobo-Dioulasso</t>
        </is>
      </c>
      <c r="E153" t="inlineStr">
        <is>
          <t>Hauts-Bassins</t>
        </is>
      </c>
      <c r="F153" t="inlineStr">
        <is>
          <t>+226 72 62 64 69 71</t>
        </is>
      </c>
      <c r="G153" t="inlineStr">
        <is>
          <t>contact9379@yahoo.fr</t>
        </is>
      </c>
      <c r="H153" t="inlineStr">
        <is>
          <t>2022-06-21</t>
        </is>
      </c>
      <c r="I153" t="inlineStr">
        <is>
          <t>Or</t>
        </is>
      </c>
      <c r="J153" t="inlineStr">
        <is>
          <t>Comptant</t>
        </is>
      </c>
      <c r="K153" t="n">
        <v>500000</v>
      </c>
    </row>
    <row r="154">
      <c r="A154" t="n">
        <v>9467</v>
      </c>
      <c r="B154" t="inlineStr">
        <is>
          <t>Ets Z</t>
        </is>
      </c>
      <c r="C154" t="inlineStr">
        <is>
          <t>Professionnel</t>
        </is>
      </c>
      <c r="D154" t="inlineStr">
        <is>
          <t>Kaya</t>
        </is>
      </c>
      <c r="E154" t="inlineStr">
        <is>
          <t>Centre-Nord</t>
        </is>
      </c>
      <c r="F154" t="inlineStr">
        <is>
          <t>+226 79 77 34 54 11</t>
        </is>
      </c>
      <c r="G154" t="inlineStr">
        <is>
          <t>contact9467@gmail.com</t>
        </is>
      </c>
      <c r="H154" t="inlineStr">
        <is>
          <t>2024-06-07</t>
        </is>
      </c>
      <c r="I154" t="inlineStr">
        <is>
          <t>Standard</t>
        </is>
      </c>
      <c r="J154" t="inlineStr">
        <is>
          <t>60 j</t>
        </is>
      </c>
      <c r="K154" t="n">
        <v>500000</v>
      </c>
    </row>
    <row r="155">
      <c r="A155" t="n">
        <v>9495</v>
      </c>
      <c r="B155" t="inlineStr">
        <is>
          <t>Menage 09495</t>
        </is>
      </c>
      <c r="C155" t="inlineStr">
        <is>
          <t>Particulier</t>
        </is>
      </c>
      <c r="D155" t="inlineStr">
        <is>
          <t>Ziniaré</t>
        </is>
      </c>
      <c r="E155" t="inlineStr">
        <is>
          <t>Plateau-Central</t>
        </is>
      </c>
      <c r="F155" t="inlineStr">
        <is>
          <t>+226 75 15 87 89 53</t>
        </is>
      </c>
      <c r="H155" t="inlineStr">
        <is>
          <t>2022-10-26</t>
        </is>
      </c>
      <c r="I155" t="inlineStr">
        <is>
          <t>Standard</t>
        </is>
      </c>
      <c r="J155" t="inlineStr">
        <is>
          <t>Comptant</t>
        </is>
      </c>
      <c r="K155" t="n">
        <v>500000</v>
      </c>
    </row>
    <row r="156">
      <c r="A156" t="n">
        <v>9530</v>
      </c>
      <c r="B156" t="inlineStr">
        <is>
          <t>Chantiers r</t>
        </is>
      </c>
      <c r="C156" t="inlineStr">
        <is>
          <t>Professionnel</t>
        </is>
      </c>
      <c r="D156" t="inlineStr">
        <is>
          <t>Ouagadougou</t>
        </is>
      </c>
      <c r="E156" t="inlineStr">
        <is>
          <t>Centre</t>
        </is>
      </c>
      <c r="F156" t="inlineStr">
        <is>
          <t>+226 72 95 77 81 64</t>
        </is>
      </c>
      <c r="G156" t="inlineStr">
        <is>
          <t>contact9530@outlook.fr</t>
        </is>
      </c>
      <c r="H156" t="inlineStr">
        <is>
          <t>2024-09-12</t>
        </is>
      </c>
      <c r="I156" t="inlineStr">
        <is>
          <t>Argent</t>
        </is>
      </c>
      <c r="J156" t="inlineStr">
        <is>
          <t>60 j</t>
        </is>
      </c>
      <c r="K156" t="n">
        <v>0</v>
      </c>
    </row>
    <row r="157">
      <c r="A157" t="n">
        <v>9557</v>
      </c>
      <c r="B157" t="inlineStr">
        <is>
          <t>Chantiers b</t>
        </is>
      </c>
      <c r="C157" t="inlineStr">
        <is>
          <t>Professionnel</t>
        </is>
      </c>
      <c r="D157" t="inlineStr">
        <is>
          <t>Kaya</t>
        </is>
      </c>
      <c r="E157" t="inlineStr">
        <is>
          <t>Centre-Nord</t>
        </is>
      </c>
      <c r="F157" t="inlineStr">
        <is>
          <t>+226 77 40 41 41 44</t>
        </is>
      </c>
      <c r="G157" t="inlineStr">
        <is>
          <t>contact9557@gmail.com</t>
        </is>
      </c>
      <c r="H157" t="inlineStr">
        <is>
          <t>2019-08-12</t>
        </is>
      </c>
      <c r="I157" t="inlineStr">
        <is>
          <t>Standard</t>
        </is>
      </c>
      <c r="J157" t="inlineStr">
        <is>
          <t>60 j</t>
        </is>
      </c>
      <c r="K157" t="n">
        <v>250000</v>
      </c>
    </row>
    <row r="158">
      <c r="A158" t="n">
        <v>9672</v>
      </c>
      <c r="B158" t="inlineStr">
        <is>
          <t>Societe s</t>
        </is>
      </c>
      <c r="C158" t="inlineStr">
        <is>
          <t>Entreprise</t>
        </is>
      </c>
      <c r="D158" t="inlineStr">
        <is>
          <t>Koudougou</t>
        </is>
      </c>
      <c r="E158" t="inlineStr">
        <is>
          <t>Centre-Ouest</t>
        </is>
      </c>
      <c r="F158" t="inlineStr">
        <is>
          <t>+226 71 52 97 46 63</t>
        </is>
      </c>
      <c r="G158" t="inlineStr">
        <is>
          <t>contact9672@entreprise.bf</t>
        </is>
      </c>
      <c r="H158" t="inlineStr">
        <is>
          <t>2022-06-26</t>
        </is>
      </c>
      <c r="I158" t="inlineStr">
        <is>
          <t>Argent</t>
        </is>
      </c>
      <c r="J158" t="inlineStr">
        <is>
          <t>Comptant</t>
        </is>
      </c>
      <c r="K158" t="n">
        <v>1500000</v>
      </c>
    </row>
    <row r="159">
      <c r="A159" t="n">
        <v>9701</v>
      </c>
      <c r="B159" t="inlineStr">
        <is>
          <t>Societe a</t>
        </is>
      </c>
      <c r="C159" t="inlineStr">
        <is>
          <t>Administration</t>
        </is>
      </c>
      <c r="D159" t="inlineStr">
        <is>
          <t>Ouagadougou</t>
        </is>
      </c>
      <c r="E159" t="inlineStr">
        <is>
          <t>Centre</t>
        </is>
      </c>
      <c r="F159" t="inlineStr">
        <is>
          <t>+226 75 97 35 61 50</t>
        </is>
      </c>
      <c r="G159" t="inlineStr">
        <is>
          <t>contact9701@gmail.com</t>
        </is>
      </c>
      <c r="H159" t="inlineStr">
        <is>
          <t>2017-08-27</t>
        </is>
      </c>
      <c r="I159" t="inlineStr">
        <is>
          <t>Or</t>
        </is>
      </c>
      <c r="J159" t="inlineStr">
        <is>
          <t>30 j</t>
        </is>
      </c>
      <c r="K159" t="n">
        <v>0</v>
      </c>
    </row>
    <row r="160">
      <c r="A160" t="n">
        <v>9745</v>
      </c>
      <c r="B160" t="inlineStr">
        <is>
          <t>Menage 09745</t>
        </is>
      </c>
      <c r="C160" t="inlineStr">
        <is>
          <t>Particulier</t>
        </is>
      </c>
      <c r="D160" t="inlineStr">
        <is>
          <t>Bobo-Dioulasso</t>
        </is>
      </c>
      <c r="E160" t="inlineStr">
        <is>
          <t>Hauts-Bassins</t>
        </is>
      </c>
      <c r="F160" t="inlineStr">
        <is>
          <t>+226 74 44 51 52 70</t>
        </is>
      </c>
      <c r="H160" t="inlineStr">
        <is>
          <t>2025-08-29</t>
        </is>
      </c>
      <c r="I160" t="inlineStr">
        <is>
          <t>Standard</t>
        </is>
      </c>
      <c r="J160" t="inlineStr">
        <is>
          <t>Comptant</t>
        </is>
      </c>
      <c r="K160" t="n">
        <v>250000</v>
      </c>
    </row>
    <row r="161">
      <c r="A161" t="n">
        <v>9774</v>
      </c>
      <c r="B161" t="inlineStr">
        <is>
          <t>Societe o</t>
        </is>
      </c>
      <c r="C161" t="inlineStr">
        <is>
          <t>Administration</t>
        </is>
      </c>
      <c r="D161" t="inlineStr">
        <is>
          <t>Ouagadougou</t>
        </is>
      </c>
      <c r="E161" t="inlineStr">
        <is>
          <t>Centre</t>
        </is>
      </c>
      <c r="F161" t="inlineStr">
        <is>
          <t>+226 71 37 63 95 50</t>
        </is>
      </c>
      <c r="H161" t="inlineStr">
        <is>
          <t>2020-09-02</t>
        </is>
      </c>
      <c r="I161" t="inlineStr">
        <is>
          <t>Or</t>
        </is>
      </c>
      <c r="J161" t="inlineStr">
        <is>
          <t>30 j</t>
        </is>
      </c>
      <c r="K161" t="n">
        <v>0</v>
      </c>
    </row>
    <row r="162">
      <c r="A162" t="n">
        <v>9940</v>
      </c>
      <c r="B162" t="inlineStr">
        <is>
          <t>Menage 09940</t>
        </is>
      </c>
      <c r="C162" t="inlineStr">
        <is>
          <t>Particulier</t>
        </is>
      </c>
      <c r="D162" t="inlineStr">
        <is>
          <t>Bobo-Dioulasso</t>
        </is>
      </c>
      <c r="E162" t="inlineStr">
        <is>
          <t>Hauts-Bassins</t>
        </is>
      </c>
      <c r="F162" t="inlineStr">
        <is>
          <t>+226 77 50 24 83 34</t>
        </is>
      </c>
      <c r="H162" t="inlineStr">
        <is>
          <t>2017-01-04</t>
        </is>
      </c>
      <c r="I162" t="inlineStr">
        <is>
          <t>Standard</t>
        </is>
      </c>
      <c r="J162" t="inlineStr">
        <is>
          <t>30 j</t>
        </is>
      </c>
      <c r="K162" t="n">
        <v>0</v>
      </c>
    </row>
    <row r="163">
      <c r="A163" t="n">
        <v>9985</v>
      </c>
      <c r="B163" t="inlineStr">
        <is>
          <t>Menage 09985</t>
        </is>
      </c>
      <c r="C163" t="inlineStr">
        <is>
          <t>Particulier</t>
        </is>
      </c>
      <c r="D163" t="inlineStr">
        <is>
          <t>Kaya</t>
        </is>
      </c>
      <c r="E163" t="inlineStr">
        <is>
          <t>Centre-Nord</t>
        </is>
      </c>
      <c r="F163" t="inlineStr">
        <is>
          <t>+226 71 34 92 26 62</t>
        </is>
      </c>
      <c r="H163" t="inlineStr">
        <is>
          <t>2019-07-28</t>
        </is>
      </c>
      <c r="I163" t="inlineStr">
        <is>
          <t>Standard</t>
        </is>
      </c>
      <c r="J163" t="inlineStr">
        <is>
          <t>Comptant</t>
        </is>
      </c>
      <c r="K163" t="n">
        <v>500000</v>
      </c>
    </row>
    <row r="164">
      <c r="A164" t="n">
        <v>10043</v>
      </c>
      <c r="B164" t="inlineStr">
        <is>
          <t>Menage 10043</t>
        </is>
      </c>
      <c r="C164" t="inlineStr">
        <is>
          <t>Particulier</t>
        </is>
      </c>
      <c r="D164" t="inlineStr">
        <is>
          <t>Koudougou</t>
        </is>
      </c>
      <c r="E164" t="inlineStr">
        <is>
          <t>Centre-Ouest</t>
        </is>
      </c>
      <c r="F164" t="inlineStr">
        <is>
          <t>+226 71 45 95 46 14</t>
        </is>
      </c>
      <c r="H164" t="inlineStr">
        <is>
          <t>2019-11-10</t>
        </is>
      </c>
      <c r="I164" t="inlineStr">
        <is>
          <t>Or</t>
        </is>
      </c>
      <c r="J164" t="inlineStr">
        <is>
          <t>30 j</t>
        </is>
      </c>
      <c r="K164" t="n">
        <v>500000</v>
      </c>
    </row>
    <row r="165">
      <c r="A165" t="n">
        <v>10137</v>
      </c>
      <c r="B165" t="inlineStr">
        <is>
          <t>SARL t</t>
        </is>
      </c>
      <c r="C165" t="inlineStr">
        <is>
          <t>Professionnel</t>
        </is>
      </c>
      <c r="D165" t="inlineStr">
        <is>
          <t>Ouagadougou</t>
        </is>
      </c>
      <c r="E165" t="inlineStr">
        <is>
          <t>Centre</t>
        </is>
      </c>
      <c r="F165" t="inlineStr">
        <is>
          <t>+226 72 45 72 21 39</t>
        </is>
      </c>
      <c r="G165" t="inlineStr">
        <is>
          <t>contact10137@entreprise.bf</t>
        </is>
      </c>
      <c r="H165" t="inlineStr">
        <is>
          <t>2021-10-18</t>
        </is>
      </c>
      <c r="I165" t="inlineStr">
        <is>
          <t>Standard</t>
        </is>
      </c>
      <c r="J165" t="inlineStr">
        <is>
          <t>Comptant</t>
        </is>
      </c>
      <c r="K165" t="n">
        <v>0</v>
      </c>
    </row>
    <row r="166">
      <c r="A166" t="n">
        <v>10176</v>
      </c>
      <c r="B166" t="inlineStr">
        <is>
          <t>Chantiers o</t>
        </is>
      </c>
      <c r="C166" t="inlineStr">
        <is>
          <t>Administration</t>
        </is>
      </c>
      <c r="D166" t="inlineStr">
        <is>
          <t>Ziniaré</t>
        </is>
      </c>
      <c r="E166" t="inlineStr">
        <is>
          <t>Plateau-Central</t>
        </is>
      </c>
      <c r="F166" t="inlineStr">
        <is>
          <t>+226 75 44 14 11 12</t>
        </is>
      </c>
      <c r="G166" t="inlineStr">
        <is>
          <t>contact10176@gmail.com</t>
        </is>
      </c>
      <c r="H166" t="inlineStr">
        <is>
          <t>2018-10-14</t>
        </is>
      </c>
      <c r="I166" t="inlineStr">
        <is>
          <t>Standard</t>
        </is>
      </c>
      <c r="J166" t="inlineStr">
        <is>
          <t>60 j</t>
        </is>
      </c>
      <c r="K166" t="n">
        <v>0</v>
      </c>
    </row>
    <row r="167">
      <c r="A167" t="n">
        <v>10237</v>
      </c>
      <c r="B167" t="inlineStr">
        <is>
          <t>Menage 10237</t>
        </is>
      </c>
      <c r="C167" t="inlineStr">
        <is>
          <t>Particulier</t>
        </is>
      </c>
      <c r="D167" t="inlineStr">
        <is>
          <t>Ouagadougou</t>
        </is>
      </c>
      <c r="E167" t="inlineStr">
        <is>
          <t>Centre</t>
        </is>
      </c>
      <c r="F167" t="inlineStr">
        <is>
          <t>+226 73 62 76 80 61</t>
        </is>
      </c>
      <c r="H167" t="inlineStr">
        <is>
          <t>2021-05-15</t>
        </is>
      </c>
      <c r="I167" t="inlineStr">
        <is>
          <t>Argent</t>
        </is>
      </c>
      <c r="J167" t="inlineStr">
        <is>
          <t>Comptant</t>
        </is>
      </c>
      <c r="K167" t="n">
        <v>0</v>
      </c>
    </row>
    <row r="168">
      <c r="A168" t="n">
        <v>10278</v>
      </c>
      <c r="B168" t="inlineStr">
        <is>
          <t>Chantiers g</t>
        </is>
      </c>
      <c r="C168" t="inlineStr">
        <is>
          <t>Entreprise</t>
        </is>
      </c>
      <c r="D168" t="inlineStr">
        <is>
          <t>Ouagadougou</t>
        </is>
      </c>
      <c r="E168" t="inlineStr">
        <is>
          <t>Centre</t>
        </is>
      </c>
      <c r="F168" t="inlineStr">
        <is>
          <t>+226 76 29 65 49 23</t>
        </is>
      </c>
      <c r="G168" t="inlineStr">
        <is>
          <t>contact10278@outlook.fr</t>
        </is>
      </c>
      <c r="H168" t="inlineStr">
        <is>
          <t>2018-01-29</t>
        </is>
      </c>
      <c r="I168" t="inlineStr">
        <is>
          <t>Standard</t>
        </is>
      </c>
      <c r="J168" t="inlineStr">
        <is>
          <t>30 j</t>
        </is>
      </c>
      <c r="K168" t="n">
        <v>0</v>
      </c>
    </row>
    <row r="169">
      <c r="A169" t="n">
        <v>10406</v>
      </c>
      <c r="B169" t="inlineStr">
        <is>
          <t>Ets é</t>
        </is>
      </c>
      <c r="C169" t="inlineStr">
        <is>
          <t>Professionnel</t>
        </is>
      </c>
      <c r="D169" t="inlineStr">
        <is>
          <t>Bobo-Dioulasso</t>
        </is>
      </c>
      <c r="E169" t="inlineStr">
        <is>
          <t>Hauts-Bassins</t>
        </is>
      </c>
      <c r="F169" t="inlineStr">
        <is>
          <t>+226 75 16 15 66 80</t>
        </is>
      </c>
      <c r="H169" t="inlineStr">
        <is>
          <t>2022-11-18</t>
        </is>
      </c>
      <c r="I169" t="inlineStr">
        <is>
          <t>Or</t>
        </is>
      </c>
      <c r="J169" t="inlineStr">
        <is>
          <t>60 j</t>
        </is>
      </c>
      <c r="K169" t="n">
        <v>5000000</v>
      </c>
    </row>
    <row r="170">
      <c r="A170" t="n">
        <v>10560</v>
      </c>
      <c r="B170" t="inlineStr">
        <is>
          <t>Menage 10560</t>
        </is>
      </c>
      <c r="C170" t="inlineStr">
        <is>
          <t>Particulier</t>
        </is>
      </c>
      <c r="D170" t="inlineStr">
        <is>
          <t>Bobo-Dioulasso</t>
        </is>
      </c>
      <c r="E170" t="inlineStr">
        <is>
          <t>Hauts-Bassins</t>
        </is>
      </c>
      <c r="F170" t="inlineStr">
        <is>
          <t>+226 79 51 38 15 42</t>
        </is>
      </c>
      <c r="H170" t="inlineStr">
        <is>
          <t>2023-08-21</t>
        </is>
      </c>
      <c r="I170" t="inlineStr">
        <is>
          <t>Argent</t>
        </is>
      </c>
      <c r="J170" t="inlineStr">
        <is>
          <t>Comptant</t>
        </is>
      </c>
      <c r="K170" t="n">
        <v>0</v>
      </c>
    </row>
    <row r="171">
      <c r="A171" t="n">
        <v>10564</v>
      </c>
      <c r="B171" t="inlineStr">
        <is>
          <t>Menage 10564</t>
        </is>
      </c>
      <c r="C171" t="inlineStr">
        <is>
          <t>Particulier</t>
        </is>
      </c>
      <c r="D171" t="inlineStr">
        <is>
          <t>Ziniaré</t>
        </is>
      </c>
      <c r="E171" t="inlineStr">
        <is>
          <t>Plateau-Central</t>
        </is>
      </c>
      <c r="F171" t="inlineStr">
        <is>
          <t>+226 76 99 58 73 11</t>
        </is>
      </c>
      <c r="H171" t="inlineStr">
        <is>
          <t>2025-07-02</t>
        </is>
      </c>
      <c r="I171" t="inlineStr">
        <is>
          <t>Standard</t>
        </is>
      </c>
      <c r="J171" t="inlineStr">
        <is>
          <t>30 j</t>
        </is>
      </c>
      <c r="K171" t="n">
        <v>0</v>
      </c>
    </row>
    <row r="172">
      <c r="A172" t="n">
        <v>10589</v>
      </c>
      <c r="B172" t="inlineStr">
        <is>
          <t>Societe a</t>
        </is>
      </c>
      <c r="C172" t="inlineStr">
        <is>
          <t>Professionnel</t>
        </is>
      </c>
      <c r="D172" t="inlineStr">
        <is>
          <t>Ouagadougou</t>
        </is>
      </c>
      <c r="E172" t="inlineStr">
        <is>
          <t>Centre</t>
        </is>
      </c>
      <c r="F172" t="inlineStr">
        <is>
          <t>+226 76 37 55 61 69</t>
        </is>
      </c>
      <c r="G172" t="inlineStr">
        <is>
          <t>contact10589@entreprise.bf</t>
        </is>
      </c>
      <c r="H172" t="inlineStr">
        <is>
          <t>2022-05-24</t>
        </is>
      </c>
      <c r="I172" t="inlineStr">
        <is>
          <t>Standard</t>
        </is>
      </c>
      <c r="J172" t="inlineStr">
        <is>
          <t>Comptant</t>
        </is>
      </c>
      <c r="K172" t="n">
        <v>0</v>
      </c>
    </row>
    <row r="173">
      <c r="A173" t="n">
        <v>10601</v>
      </c>
      <c r="B173" t="inlineStr">
        <is>
          <t>Menage 10601</t>
        </is>
      </c>
      <c r="C173" t="inlineStr">
        <is>
          <t>Particulier</t>
        </is>
      </c>
      <c r="D173" t="inlineStr">
        <is>
          <t>Ziniaré</t>
        </is>
      </c>
      <c r="E173" t="inlineStr">
        <is>
          <t>Plateau-Central</t>
        </is>
      </c>
      <c r="F173" t="inlineStr">
        <is>
          <t>+226 78 48 51 95 18</t>
        </is>
      </c>
      <c r="H173" t="inlineStr">
        <is>
          <t>2024-03-14</t>
        </is>
      </c>
      <c r="I173" t="inlineStr">
        <is>
          <t>Standard</t>
        </is>
      </c>
      <c r="J173" t="inlineStr">
        <is>
          <t>Comptant</t>
        </is>
      </c>
      <c r="K173" t="n">
        <v>0</v>
      </c>
    </row>
    <row r="174">
      <c r="A174" t="n">
        <v>10696</v>
      </c>
      <c r="B174" t="inlineStr">
        <is>
          <t>Menage 10696</t>
        </is>
      </c>
      <c r="C174" t="inlineStr">
        <is>
          <t>Particulier</t>
        </is>
      </c>
      <c r="D174" t="inlineStr">
        <is>
          <t>Bobo-Dioulasso</t>
        </is>
      </c>
      <c r="E174" t="inlineStr">
        <is>
          <t>Hauts-Bassins</t>
        </is>
      </c>
      <c r="F174" t="inlineStr">
        <is>
          <t>+226 72 46 73 21 73</t>
        </is>
      </c>
      <c r="H174" t="inlineStr">
        <is>
          <t>2023-06-17</t>
        </is>
      </c>
      <c r="I174" t="inlineStr">
        <is>
          <t>Or</t>
        </is>
      </c>
      <c r="J174" t="inlineStr">
        <is>
          <t>Comptant</t>
        </is>
      </c>
      <c r="K174" t="n">
        <v>250000</v>
      </c>
    </row>
    <row r="175">
      <c r="A175" t="n">
        <v>10729</v>
      </c>
      <c r="B175" t="inlineStr">
        <is>
          <t>Societe a</t>
        </is>
      </c>
      <c r="C175" t="inlineStr">
        <is>
          <t>Entreprise</t>
        </is>
      </c>
      <c r="D175" t="inlineStr">
        <is>
          <t>Ouagadougou</t>
        </is>
      </c>
      <c r="E175" t="inlineStr">
        <is>
          <t>Centre</t>
        </is>
      </c>
      <c r="F175" t="inlineStr">
        <is>
          <t>+226 74 10 58 75 89</t>
        </is>
      </c>
      <c r="G175" t="inlineStr">
        <is>
          <t>contact10729@gmail.com</t>
        </is>
      </c>
      <c r="H175" t="inlineStr">
        <is>
          <t>2020-08-24</t>
        </is>
      </c>
      <c r="I175" t="inlineStr">
        <is>
          <t>Standard</t>
        </is>
      </c>
      <c r="J175" t="inlineStr">
        <is>
          <t>30 j</t>
        </is>
      </c>
      <c r="K175" t="n">
        <v>5000000</v>
      </c>
    </row>
    <row r="176">
      <c r="A176" t="n">
        <v>10827</v>
      </c>
      <c r="B176" t="inlineStr">
        <is>
          <t>Ets K</t>
        </is>
      </c>
      <c r="C176" t="inlineStr">
        <is>
          <t>Professionnel</t>
        </is>
      </c>
      <c r="D176" t="inlineStr">
        <is>
          <t>Ouagadougou</t>
        </is>
      </c>
      <c r="E176" t="inlineStr">
        <is>
          <t>Centre</t>
        </is>
      </c>
      <c r="F176" t="inlineStr">
        <is>
          <t>+226 77 17 86 42 49</t>
        </is>
      </c>
      <c r="H176" t="inlineStr">
        <is>
          <t>2024-12-21</t>
        </is>
      </c>
      <c r="I176" t="inlineStr">
        <is>
          <t>Standard</t>
        </is>
      </c>
      <c r="J176" t="inlineStr">
        <is>
          <t>30 j</t>
        </is>
      </c>
      <c r="K176" t="n">
        <v>500000</v>
      </c>
    </row>
    <row r="177">
      <c r="A177" t="n">
        <v>10857</v>
      </c>
      <c r="B177" t="inlineStr">
        <is>
          <t>Societe B</t>
        </is>
      </c>
      <c r="C177" t="inlineStr">
        <is>
          <t>Professionnel</t>
        </is>
      </c>
      <c r="D177" t="inlineStr">
        <is>
          <t>Ziniaré</t>
        </is>
      </c>
      <c r="E177" t="inlineStr">
        <is>
          <t>Plateau-Central</t>
        </is>
      </c>
      <c r="F177" t="inlineStr">
        <is>
          <t>+226 76 20 54 98 93</t>
        </is>
      </c>
      <c r="G177" t="inlineStr">
        <is>
          <t>contact10857@entreprise.bf</t>
        </is>
      </c>
      <c r="H177" t="inlineStr">
        <is>
          <t>2022-08-03</t>
        </is>
      </c>
      <c r="I177" t="inlineStr">
        <is>
          <t>Standard</t>
        </is>
      </c>
      <c r="J177" t="inlineStr">
        <is>
          <t>Comptant</t>
        </is>
      </c>
      <c r="K177" t="n">
        <v>1500000</v>
      </c>
    </row>
    <row r="178">
      <c r="A178" t="n">
        <v>10895</v>
      </c>
      <c r="B178" t="inlineStr">
        <is>
          <t>SARL o</t>
        </is>
      </c>
      <c r="C178" t="inlineStr">
        <is>
          <t>Professionnel</t>
        </is>
      </c>
      <c r="D178" t="inlineStr">
        <is>
          <t>Bobo-Dioulasso</t>
        </is>
      </c>
      <c r="E178" t="inlineStr">
        <is>
          <t>Hauts-Bassins</t>
        </is>
      </c>
      <c r="F178" t="inlineStr">
        <is>
          <t>+226 76 19 71 38 74</t>
        </is>
      </c>
      <c r="H178" t="inlineStr">
        <is>
          <t>2021-10-31</t>
        </is>
      </c>
      <c r="I178" t="inlineStr">
        <is>
          <t>Standard</t>
        </is>
      </c>
      <c r="J178" t="inlineStr">
        <is>
          <t>Comptant</t>
        </is>
      </c>
      <c r="K178" t="n">
        <v>0</v>
      </c>
    </row>
    <row r="179">
      <c r="A179" t="n">
        <v>10989</v>
      </c>
      <c r="B179" t="inlineStr">
        <is>
          <t>Societe é</t>
        </is>
      </c>
      <c r="C179" t="inlineStr">
        <is>
          <t>Professionnel</t>
        </is>
      </c>
      <c r="D179" t="inlineStr">
        <is>
          <t>Bobo-Dioulasso</t>
        </is>
      </c>
      <c r="E179" t="inlineStr">
        <is>
          <t>Hauts-Bassins</t>
        </is>
      </c>
      <c r="F179" t="inlineStr">
        <is>
          <t>+226 73 70 68 35 98</t>
        </is>
      </c>
      <c r="G179" t="inlineStr">
        <is>
          <t>contact10989@gmail.com</t>
        </is>
      </c>
      <c r="H179" t="inlineStr">
        <is>
          <t>2017-06-02</t>
        </is>
      </c>
      <c r="I179" t="inlineStr">
        <is>
          <t>Standard</t>
        </is>
      </c>
      <c r="J179" t="inlineStr">
        <is>
          <t>Comptant</t>
        </is>
      </c>
      <c r="K179" t="n">
        <v>0</v>
      </c>
    </row>
    <row r="180">
      <c r="A180" t="n">
        <v>11018</v>
      </c>
      <c r="B180" t="inlineStr">
        <is>
          <t>Menage 11018</t>
        </is>
      </c>
      <c r="C180" t="inlineStr">
        <is>
          <t>Particulier</t>
        </is>
      </c>
      <c r="D180" t="inlineStr">
        <is>
          <t>Koudougou</t>
        </is>
      </c>
      <c r="E180" t="inlineStr">
        <is>
          <t>Centre-Ouest</t>
        </is>
      </c>
      <c r="F180" t="inlineStr">
        <is>
          <t>+226 79 40 54 34 47</t>
        </is>
      </c>
      <c r="H180" t="inlineStr">
        <is>
          <t>2022-05-14</t>
        </is>
      </c>
      <c r="I180" t="inlineStr">
        <is>
          <t>Standard</t>
        </is>
      </c>
      <c r="J180" t="inlineStr">
        <is>
          <t>Comptant</t>
        </is>
      </c>
      <c r="K180" t="n">
        <v>500000</v>
      </c>
    </row>
    <row r="181">
      <c r="A181" t="n">
        <v>11109</v>
      </c>
      <c r="B181" t="inlineStr">
        <is>
          <t>Menage 11109</t>
        </is>
      </c>
      <c r="C181" t="inlineStr">
        <is>
          <t>Particulier</t>
        </is>
      </c>
      <c r="D181" t="inlineStr">
        <is>
          <t>Ouagadougou</t>
        </is>
      </c>
      <c r="E181" t="inlineStr">
        <is>
          <t>Centre</t>
        </is>
      </c>
      <c r="F181" t="inlineStr">
        <is>
          <t>+226 73 28 78 13 37</t>
        </is>
      </c>
      <c r="H181" t="inlineStr">
        <is>
          <t>2018-09-13</t>
        </is>
      </c>
      <c r="I181" t="inlineStr">
        <is>
          <t>Argent</t>
        </is>
      </c>
      <c r="J181" t="inlineStr">
        <is>
          <t>Comptant</t>
        </is>
      </c>
      <c r="K181" t="n">
        <v>250000</v>
      </c>
    </row>
    <row r="182">
      <c r="A182" t="n">
        <v>11411</v>
      </c>
      <c r="B182" t="inlineStr">
        <is>
          <t>Societe p</t>
        </is>
      </c>
      <c r="C182" t="inlineStr">
        <is>
          <t>Professionnel</t>
        </is>
      </c>
      <c r="D182" t="inlineStr">
        <is>
          <t>Ouagadougou</t>
        </is>
      </c>
      <c r="E182" t="inlineStr">
        <is>
          <t>Centre</t>
        </is>
      </c>
      <c r="F182" t="inlineStr">
        <is>
          <t>+226 79 83 22 76 45</t>
        </is>
      </c>
      <c r="G182" t="inlineStr">
        <is>
          <t>contact11411@entreprise.bf</t>
        </is>
      </c>
      <c r="H182" t="inlineStr">
        <is>
          <t>2018-05-28</t>
        </is>
      </c>
      <c r="I182" t="inlineStr">
        <is>
          <t>Standard</t>
        </is>
      </c>
      <c r="J182" t="inlineStr">
        <is>
          <t>30 j</t>
        </is>
      </c>
      <c r="K182" t="n">
        <v>1500000</v>
      </c>
    </row>
    <row r="183">
      <c r="A183" t="n">
        <v>11417</v>
      </c>
      <c r="B183" t="inlineStr">
        <is>
          <t>Menage 11417</t>
        </is>
      </c>
      <c r="C183" t="inlineStr">
        <is>
          <t>Particulier</t>
        </is>
      </c>
      <c r="D183" t="inlineStr">
        <is>
          <t>Ouagadougou</t>
        </is>
      </c>
      <c r="E183" t="inlineStr">
        <is>
          <t>Centre</t>
        </is>
      </c>
      <c r="F183" t="inlineStr">
        <is>
          <t>+226 72 53 69 53 90</t>
        </is>
      </c>
      <c r="H183" t="inlineStr">
        <is>
          <t>2023-12-02</t>
        </is>
      </c>
      <c r="I183" t="inlineStr">
        <is>
          <t>Standard</t>
        </is>
      </c>
      <c r="J183" t="inlineStr">
        <is>
          <t>Comptant</t>
        </is>
      </c>
      <c r="K183" t="n">
        <v>250000</v>
      </c>
    </row>
    <row r="184">
      <c r="A184" t="n">
        <v>11559</v>
      </c>
      <c r="B184" t="inlineStr">
        <is>
          <t>Societe a</t>
        </is>
      </c>
      <c r="C184" t="inlineStr">
        <is>
          <t>Administration</t>
        </is>
      </c>
      <c r="D184" t="inlineStr">
        <is>
          <t>Ziniaré</t>
        </is>
      </c>
      <c r="E184" t="inlineStr">
        <is>
          <t>Plateau-Central</t>
        </is>
      </c>
      <c r="F184" t="inlineStr">
        <is>
          <t>+226 71 15 25 74 90</t>
        </is>
      </c>
      <c r="H184" t="inlineStr">
        <is>
          <t>2025-07-29</t>
        </is>
      </c>
      <c r="I184" t="inlineStr">
        <is>
          <t>Standard</t>
        </is>
      </c>
      <c r="J184" t="inlineStr">
        <is>
          <t>30 j</t>
        </is>
      </c>
      <c r="K184" t="n">
        <v>1500000</v>
      </c>
    </row>
    <row r="185">
      <c r="A185" t="n">
        <v>11669</v>
      </c>
      <c r="B185" t="inlineStr">
        <is>
          <t>Menage 11669</t>
        </is>
      </c>
      <c r="C185" t="inlineStr">
        <is>
          <t>Particulier</t>
        </is>
      </c>
      <c r="D185" t="inlineStr">
        <is>
          <t>Bobo-Dioulasso</t>
        </is>
      </c>
      <c r="E185" t="inlineStr">
        <is>
          <t>Hauts-Bassins</t>
        </is>
      </c>
      <c r="F185" t="inlineStr">
        <is>
          <t>+226 71 56 55 68 44</t>
        </is>
      </c>
      <c r="H185" t="inlineStr">
        <is>
          <t>2023-12-07</t>
        </is>
      </c>
      <c r="I185" t="inlineStr">
        <is>
          <t>Standard</t>
        </is>
      </c>
      <c r="J185" t="inlineStr">
        <is>
          <t>Comptant</t>
        </is>
      </c>
      <c r="K185" t="n">
        <v>0</v>
      </c>
    </row>
    <row r="186">
      <c r="A186" t="n">
        <v>11760</v>
      </c>
      <c r="B186" t="inlineStr">
        <is>
          <t>Menage 11760</t>
        </is>
      </c>
      <c r="C186" t="inlineStr">
        <is>
          <t>Particulier</t>
        </is>
      </c>
      <c r="D186" t="inlineStr">
        <is>
          <t>Ouagadougou</t>
        </is>
      </c>
      <c r="E186" t="inlineStr">
        <is>
          <t>Centre</t>
        </is>
      </c>
      <c r="F186" t="inlineStr">
        <is>
          <t>+226 73 62 46 82 19</t>
        </is>
      </c>
      <c r="H186" t="inlineStr">
        <is>
          <t>2018-06-17</t>
        </is>
      </c>
      <c r="I186" t="inlineStr">
        <is>
          <t>Argent</t>
        </is>
      </c>
      <c r="J186" t="inlineStr">
        <is>
          <t>30 j</t>
        </is>
      </c>
      <c r="K186" t="n">
        <v>1500000</v>
      </c>
    </row>
    <row r="187">
      <c r="A187" t="n">
        <v>11891</v>
      </c>
      <c r="B187" t="inlineStr">
        <is>
          <t>Ets r</t>
        </is>
      </c>
      <c r="C187" t="inlineStr">
        <is>
          <t>Professionnel</t>
        </is>
      </c>
      <c r="D187" t="inlineStr">
        <is>
          <t>Ouagadougou</t>
        </is>
      </c>
      <c r="E187" t="inlineStr">
        <is>
          <t>Centre</t>
        </is>
      </c>
      <c r="F187" t="inlineStr">
        <is>
          <t>+226 77 12 45 67 90</t>
        </is>
      </c>
      <c r="G187" t="inlineStr">
        <is>
          <t>contact11891@outlook.fr</t>
        </is>
      </c>
      <c r="H187" t="inlineStr">
        <is>
          <t>2026-04-23</t>
        </is>
      </c>
      <c r="I187" t="inlineStr">
        <is>
          <t>Standard</t>
        </is>
      </c>
      <c r="J187" t="inlineStr">
        <is>
          <t>Comptant</t>
        </is>
      </c>
      <c r="K187" t="n">
        <v>0</v>
      </c>
    </row>
    <row r="188">
      <c r="A188" t="n">
        <v>11926</v>
      </c>
      <c r="B188" t="inlineStr">
        <is>
          <t>Ets s</t>
        </is>
      </c>
      <c r="C188" t="inlineStr">
        <is>
          <t>Professionnel</t>
        </is>
      </c>
      <c r="D188" t="inlineStr">
        <is>
          <t>Ouagadougou</t>
        </is>
      </c>
      <c r="E188" t="inlineStr">
        <is>
          <t>Centre</t>
        </is>
      </c>
      <c r="F188" t="inlineStr">
        <is>
          <t>+226 73 96 17 86 87</t>
        </is>
      </c>
      <c r="G188" t="inlineStr">
        <is>
          <t>contact11926@outlook.fr</t>
        </is>
      </c>
      <c r="H188" t="inlineStr">
        <is>
          <t>2016-12-06</t>
        </is>
      </c>
      <c r="I188" t="inlineStr">
        <is>
          <t>Argent</t>
        </is>
      </c>
      <c r="J188" t="inlineStr">
        <is>
          <t>30 j</t>
        </is>
      </c>
      <c r="K188" t="n">
        <v>0</v>
      </c>
    </row>
    <row r="189">
      <c r="A189" t="n">
        <v>11981</v>
      </c>
      <c r="B189" t="inlineStr">
        <is>
          <t>Societe m</t>
        </is>
      </c>
      <c r="C189" t="inlineStr">
        <is>
          <t>Professionnel</t>
        </is>
      </c>
      <c r="D189" t="inlineStr">
        <is>
          <t>Ouagadougou</t>
        </is>
      </c>
      <c r="E189" t="inlineStr">
        <is>
          <t>Centre</t>
        </is>
      </c>
      <c r="F189" t="inlineStr">
        <is>
          <t>+226 71 88 10 92 92</t>
        </is>
      </c>
      <c r="G189" t="inlineStr">
        <is>
          <t>contact11981@outlook.fr</t>
        </is>
      </c>
      <c r="H189" t="inlineStr">
        <is>
          <t>2018-06-09</t>
        </is>
      </c>
      <c r="I189" t="inlineStr">
        <is>
          <t>Standard</t>
        </is>
      </c>
      <c r="J189" t="inlineStr">
        <is>
          <t>30 j</t>
        </is>
      </c>
      <c r="K189" t="n">
        <v>5000000</v>
      </c>
    </row>
    <row r="190">
      <c r="A190" t="n">
        <v>12000</v>
      </c>
      <c r="B190" t="inlineStr">
        <is>
          <t>Menage 12000</t>
        </is>
      </c>
      <c r="C190" t="inlineStr">
        <is>
          <t>Particulier</t>
        </is>
      </c>
      <c r="D190" t="inlineStr">
        <is>
          <t>Ziniaré</t>
        </is>
      </c>
      <c r="E190" t="inlineStr">
        <is>
          <t>Plateau-Central</t>
        </is>
      </c>
      <c r="F190" t="inlineStr">
        <is>
          <t>+226 77 20 68 25 92</t>
        </is>
      </c>
      <c r="H190" t="inlineStr">
        <is>
          <t>2020-05-30</t>
        </is>
      </c>
      <c r="I190" t="inlineStr">
        <is>
          <t>Standard</t>
        </is>
      </c>
      <c r="J190" t="inlineStr">
        <is>
          <t>Comptant</t>
        </is>
      </c>
      <c r="K190" t="n">
        <v>0</v>
      </c>
    </row>
    <row r="191">
      <c r="A191" t="n">
        <v>12037</v>
      </c>
      <c r="B191" t="inlineStr">
        <is>
          <t>Societe o</t>
        </is>
      </c>
      <c r="C191" t="inlineStr">
        <is>
          <t>Entreprise</t>
        </is>
      </c>
      <c r="D191" t="inlineStr">
        <is>
          <t>Bobo-Dioulasso</t>
        </is>
      </c>
      <c r="E191" t="inlineStr">
        <is>
          <t>Hauts-Bassins</t>
        </is>
      </c>
      <c r="F191" t="inlineStr">
        <is>
          <t>+226 77 45 53 26 68</t>
        </is>
      </c>
      <c r="G191" t="inlineStr">
        <is>
          <t>contact12037@outlook.fr</t>
        </is>
      </c>
      <c r="H191" t="inlineStr">
        <is>
          <t>2024-07-27</t>
        </is>
      </c>
      <c r="I191" t="inlineStr">
        <is>
          <t>Standard</t>
        </is>
      </c>
      <c r="J191" t="inlineStr">
        <is>
          <t>Comptant</t>
        </is>
      </c>
      <c r="K191" t="n">
        <v>250000</v>
      </c>
    </row>
    <row r="192">
      <c r="A192" t="n">
        <v>12082</v>
      </c>
      <c r="B192" t="inlineStr">
        <is>
          <t>Menage 12082</t>
        </is>
      </c>
      <c r="C192" t="inlineStr">
        <is>
          <t>Particulier</t>
        </is>
      </c>
      <c r="D192" t="inlineStr">
        <is>
          <t>Ouagadougou</t>
        </is>
      </c>
      <c r="E192" t="inlineStr">
        <is>
          <t>Centre</t>
        </is>
      </c>
      <c r="F192" t="inlineStr">
        <is>
          <t>+226 74 43 40 87 22</t>
        </is>
      </c>
      <c r="H192" t="inlineStr">
        <is>
          <t>2016-12-23</t>
        </is>
      </c>
      <c r="I192" t="inlineStr">
        <is>
          <t>Argent</t>
        </is>
      </c>
      <c r="J192" t="inlineStr">
        <is>
          <t>Comptant</t>
        </is>
      </c>
      <c r="K192" t="n">
        <v>0</v>
      </c>
    </row>
    <row r="193">
      <c r="A193" t="n">
        <v>12170</v>
      </c>
      <c r="B193" t="inlineStr">
        <is>
          <t>Menage 12170</t>
        </is>
      </c>
      <c r="C193" t="inlineStr">
        <is>
          <t>Particulier</t>
        </is>
      </c>
      <c r="D193" t="inlineStr">
        <is>
          <t>Bobo-Dioulasso</t>
        </is>
      </c>
      <c r="E193" t="inlineStr">
        <is>
          <t>Hauts-Bassins</t>
        </is>
      </c>
      <c r="F193" t="inlineStr">
        <is>
          <t>+226 75 93 29 27 40</t>
        </is>
      </c>
      <c r="H193" t="inlineStr">
        <is>
          <t>2022-05-07</t>
        </is>
      </c>
      <c r="I193" t="inlineStr">
        <is>
          <t>Standard</t>
        </is>
      </c>
      <c r="J193" t="inlineStr">
        <is>
          <t>Comptant</t>
        </is>
      </c>
      <c r="K193" t="n">
        <v>1500000</v>
      </c>
    </row>
    <row r="194">
      <c r="A194" t="n">
        <v>12205</v>
      </c>
      <c r="B194" t="inlineStr">
        <is>
          <t>Menage 12205</t>
        </is>
      </c>
      <c r="C194" t="inlineStr">
        <is>
          <t>Particulier</t>
        </is>
      </c>
      <c r="D194" t="inlineStr">
        <is>
          <t>Ziniaré</t>
        </is>
      </c>
      <c r="E194" t="inlineStr">
        <is>
          <t>Plateau-Central</t>
        </is>
      </c>
      <c r="F194" t="inlineStr">
        <is>
          <t>+226 79 82 58 98 80</t>
        </is>
      </c>
      <c r="H194" t="inlineStr">
        <is>
          <t>2020-04-26</t>
        </is>
      </c>
      <c r="I194" t="inlineStr">
        <is>
          <t>Standard</t>
        </is>
      </c>
      <c r="J194" t="inlineStr">
        <is>
          <t>Comptant</t>
        </is>
      </c>
      <c r="K194" t="n">
        <v>0</v>
      </c>
    </row>
    <row r="195">
      <c r="A195" t="n">
        <v>12218</v>
      </c>
      <c r="B195" t="inlineStr">
        <is>
          <t>Menage 12218</t>
        </is>
      </c>
      <c r="C195" t="inlineStr">
        <is>
          <t>Particulier</t>
        </is>
      </c>
      <c r="D195" t="inlineStr">
        <is>
          <t>Bobo-Dioulasso</t>
        </is>
      </c>
      <c r="E195" t="inlineStr">
        <is>
          <t>Hauts-Bassins</t>
        </is>
      </c>
      <c r="F195" t="inlineStr">
        <is>
          <t>+226 72 41 42 95 79</t>
        </is>
      </c>
      <c r="H195" t="inlineStr">
        <is>
          <t>2021-03-12</t>
        </is>
      </c>
      <c r="I195" t="inlineStr">
        <is>
          <t>Standard</t>
        </is>
      </c>
      <c r="J195" t="inlineStr">
        <is>
          <t>Comptant</t>
        </is>
      </c>
      <c r="K195" t="n">
        <v>0</v>
      </c>
    </row>
    <row r="196">
      <c r="A196" t="n">
        <v>12264</v>
      </c>
      <c r="B196" t="inlineStr">
        <is>
          <t>Menage 12264</t>
        </is>
      </c>
      <c r="C196" t="inlineStr">
        <is>
          <t>Particulier</t>
        </is>
      </c>
      <c r="D196" t="inlineStr">
        <is>
          <t>Ouagadougou</t>
        </is>
      </c>
      <c r="E196" t="inlineStr">
        <is>
          <t>Centre</t>
        </is>
      </c>
      <c r="F196" t="inlineStr">
        <is>
          <t>+226 75 43 89 91 20</t>
        </is>
      </c>
      <c r="H196" t="inlineStr">
        <is>
          <t>2020-08-04</t>
        </is>
      </c>
      <c r="I196" t="inlineStr">
        <is>
          <t>Standard</t>
        </is>
      </c>
      <c r="J196" t="inlineStr">
        <is>
          <t>Comptant</t>
        </is>
      </c>
      <c r="K196" t="n">
        <v>0</v>
      </c>
    </row>
    <row r="197">
      <c r="A197" t="n">
        <v>12483</v>
      </c>
      <c r="B197" t="inlineStr">
        <is>
          <t>Societe S</t>
        </is>
      </c>
      <c r="C197" t="inlineStr">
        <is>
          <t>Professionnel</t>
        </is>
      </c>
      <c r="D197" t="inlineStr">
        <is>
          <t>Ouagadougou</t>
        </is>
      </c>
      <c r="E197" t="inlineStr">
        <is>
          <t>Centre</t>
        </is>
      </c>
      <c r="F197" t="inlineStr">
        <is>
          <t>+226 71 94 65 67 71</t>
        </is>
      </c>
      <c r="G197" t="inlineStr">
        <is>
          <t>contact12483@entreprise.bf</t>
        </is>
      </c>
      <c r="H197" t="inlineStr">
        <is>
          <t>2021-01-18</t>
        </is>
      </c>
      <c r="I197" t="inlineStr">
        <is>
          <t>Standard</t>
        </is>
      </c>
      <c r="J197" t="inlineStr">
        <is>
          <t>Comptant</t>
        </is>
      </c>
      <c r="K197" t="n">
        <v>500000</v>
      </c>
    </row>
    <row r="198">
      <c r="A198" t="n">
        <v>12489</v>
      </c>
      <c r="B198" t="inlineStr">
        <is>
          <t>Menage 12489</t>
        </is>
      </c>
      <c r="C198" t="inlineStr">
        <is>
          <t>Particulier</t>
        </is>
      </c>
      <c r="D198" t="inlineStr">
        <is>
          <t>Bobo-Dioulasso</t>
        </is>
      </c>
      <c r="E198" t="inlineStr">
        <is>
          <t>Hauts-Bassins</t>
        </is>
      </c>
      <c r="F198" t="inlineStr">
        <is>
          <t>+226 77 10 66 74 82</t>
        </is>
      </c>
      <c r="H198" t="inlineStr">
        <is>
          <t>2016-09-15</t>
        </is>
      </c>
      <c r="I198" t="inlineStr">
        <is>
          <t>Standard</t>
        </is>
      </c>
      <c r="J198" t="inlineStr">
        <is>
          <t>30 j</t>
        </is>
      </c>
      <c r="K198" t="n">
        <v>1500000</v>
      </c>
    </row>
    <row r="199">
      <c r="A199" t="n">
        <v>12559</v>
      </c>
      <c r="B199" t="inlineStr">
        <is>
          <t>Societe t</t>
        </is>
      </c>
      <c r="C199" t="inlineStr">
        <is>
          <t>Professionnel</t>
        </is>
      </c>
      <c r="D199" t="inlineStr">
        <is>
          <t>Koudougou</t>
        </is>
      </c>
      <c r="E199" t="inlineStr">
        <is>
          <t>Centre-Ouest</t>
        </is>
      </c>
      <c r="F199" t="inlineStr">
        <is>
          <t>+226 78 71 95 20 15</t>
        </is>
      </c>
      <c r="G199" t="inlineStr">
        <is>
          <t>contact12559@outlook.fr</t>
        </is>
      </c>
      <c r="H199" t="inlineStr">
        <is>
          <t>2017-01-18</t>
        </is>
      </c>
      <c r="I199" t="inlineStr">
        <is>
          <t>Standard</t>
        </is>
      </c>
      <c r="J199" t="inlineStr">
        <is>
          <t>Comptant</t>
        </is>
      </c>
      <c r="K199" t="n">
        <v>250000</v>
      </c>
    </row>
    <row r="200">
      <c r="A200" t="n">
        <v>12577</v>
      </c>
      <c r="B200" t="inlineStr">
        <is>
          <t>Chantiers u</t>
        </is>
      </c>
      <c r="C200" t="inlineStr">
        <is>
          <t>Entreprise</t>
        </is>
      </c>
      <c r="D200" t="inlineStr">
        <is>
          <t>Ziniaré</t>
        </is>
      </c>
      <c r="E200" t="inlineStr">
        <is>
          <t>Plateau-Central</t>
        </is>
      </c>
      <c r="F200" t="inlineStr">
        <is>
          <t>+226 74 40 13 71 46</t>
        </is>
      </c>
      <c r="G200" t="inlineStr">
        <is>
          <t>contact12577@yahoo.fr</t>
        </is>
      </c>
      <c r="H200" t="inlineStr">
        <is>
          <t>2016-09-15</t>
        </is>
      </c>
      <c r="I200" t="inlineStr">
        <is>
          <t>Standard</t>
        </is>
      </c>
      <c r="J200" t="inlineStr">
        <is>
          <t>Comptant</t>
        </is>
      </c>
      <c r="K200" t="n">
        <v>1500000</v>
      </c>
    </row>
    <row r="201">
      <c r="A201" t="n">
        <v>12648</v>
      </c>
      <c r="B201" t="inlineStr">
        <is>
          <t>Societe o</t>
        </is>
      </c>
      <c r="C201" t="inlineStr">
        <is>
          <t>Professionnel</t>
        </is>
      </c>
      <c r="D201" t="inlineStr">
        <is>
          <t>Ouagadougou</t>
        </is>
      </c>
      <c r="E201" t="inlineStr">
        <is>
          <t>Centre</t>
        </is>
      </c>
      <c r="F201" t="inlineStr">
        <is>
          <t>+226 79 98 50 76 76</t>
        </is>
      </c>
      <c r="H201" t="inlineStr">
        <is>
          <t>2019-06-08</t>
        </is>
      </c>
      <c r="I201" t="inlineStr">
        <is>
          <t>Standard</t>
        </is>
      </c>
      <c r="J201" t="inlineStr">
        <is>
          <t>Comptant</t>
        </is>
      </c>
      <c r="K201" t="n">
        <v>250000</v>
      </c>
    </row>
    <row r="202">
      <c r="A202" t="n">
        <v>12915</v>
      </c>
      <c r="B202" t="inlineStr">
        <is>
          <t>Ets o</t>
        </is>
      </c>
      <c r="C202" t="inlineStr">
        <is>
          <t>Professionnel</t>
        </is>
      </c>
      <c r="D202" t="inlineStr">
        <is>
          <t>Koudougou</t>
        </is>
      </c>
      <c r="E202" t="inlineStr">
        <is>
          <t>Centre-Ouest</t>
        </is>
      </c>
      <c r="F202" t="inlineStr">
        <is>
          <t>+226 72 33 45 79 59</t>
        </is>
      </c>
      <c r="G202" t="inlineStr">
        <is>
          <t>contact12915@yahoo.fr</t>
        </is>
      </c>
      <c r="H202" t="inlineStr">
        <is>
          <t>2019-02-14</t>
        </is>
      </c>
      <c r="I202" t="inlineStr">
        <is>
          <t>Standard</t>
        </is>
      </c>
      <c r="J202" t="inlineStr">
        <is>
          <t>30 j</t>
        </is>
      </c>
      <c r="K202" t="n">
        <v>1500000</v>
      </c>
    </row>
    <row r="203">
      <c r="A203" t="n">
        <v>12948</v>
      </c>
      <c r="B203" t="inlineStr">
        <is>
          <t>Menage 12948</t>
        </is>
      </c>
      <c r="C203" t="inlineStr">
        <is>
          <t>Particulier</t>
        </is>
      </c>
      <c r="D203" t="inlineStr">
        <is>
          <t>Bobo-Dioulasso</t>
        </is>
      </c>
      <c r="E203" t="inlineStr">
        <is>
          <t>Hauts-Bassins</t>
        </is>
      </c>
      <c r="F203" t="inlineStr">
        <is>
          <t>+226 74 27 42 46 78</t>
        </is>
      </c>
      <c r="H203" t="inlineStr">
        <is>
          <t>2020-11-30</t>
        </is>
      </c>
      <c r="I203" t="inlineStr">
        <is>
          <t>Standard</t>
        </is>
      </c>
      <c r="J203" t="inlineStr">
        <is>
          <t>30 j</t>
        </is>
      </c>
      <c r="K203" t="n">
        <v>0</v>
      </c>
    </row>
    <row r="204">
      <c r="A204" t="n">
        <v>12973</v>
      </c>
      <c r="B204" t="inlineStr">
        <is>
          <t>SARL n</t>
        </is>
      </c>
      <c r="C204" t="inlineStr">
        <is>
          <t>Professionnel</t>
        </is>
      </c>
      <c r="D204" t="inlineStr">
        <is>
          <t>Ouagadougou</t>
        </is>
      </c>
      <c r="E204" t="inlineStr">
        <is>
          <t>Centre</t>
        </is>
      </c>
      <c r="F204" t="inlineStr">
        <is>
          <t>+226 79 63 15 18 71</t>
        </is>
      </c>
      <c r="H204" t="inlineStr">
        <is>
          <t>2020-09-07</t>
        </is>
      </c>
      <c r="I204" t="inlineStr">
        <is>
          <t>Argent</t>
        </is>
      </c>
      <c r="J204" t="inlineStr">
        <is>
          <t>Comptant</t>
        </is>
      </c>
      <c r="K204" t="n">
        <v>250000</v>
      </c>
    </row>
    <row r="205">
      <c r="A205" t="n">
        <v>12990</v>
      </c>
      <c r="B205" t="inlineStr">
        <is>
          <t>Menage 12990</t>
        </is>
      </c>
      <c r="C205" t="inlineStr">
        <is>
          <t>Particulier</t>
        </is>
      </c>
      <c r="D205" t="inlineStr">
        <is>
          <t>Ouagadougou</t>
        </is>
      </c>
      <c r="E205" t="inlineStr">
        <is>
          <t>Centre</t>
        </is>
      </c>
      <c r="F205" t="inlineStr">
        <is>
          <t>+226 73 98 39 57 83</t>
        </is>
      </c>
      <c r="H205" t="inlineStr">
        <is>
          <t>2020-03-29</t>
        </is>
      </c>
      <c r="I205" t="inlineStr">
        <is>
          <t>Standard</t>
        </is>
      </c>
      <c r="J205" t="inlineStr">
        <is>
          <t>Comptant</t>
        </is>
      </c>
      <c r="K205" t="n">
        <v>0</v>
      </c>
    </row>
    <row r="206">
      <c r="A206" t="n">
        <v>13087</v>
      </c>
      <c r="B206" t="inlineStr">
        <is>
          <t>Menage 13087</t>
        </is>
      </c>
      <c r="C206" t="inlineStr">
        <is>
          <t>Particulier</t>
        </is>
      </c>
      <c r="D206" t="inlineStr">
        <is>
          <t>Ziniaré</t>
        </is>
      </c>
      <c r="E206" t="inlineStr">
        <is>
          <t>Plateau-Central</t>
        </is>
      </c>
      <c r="F206" t="inlineStr">
        <is>
          <t>+226 73 13 54 57 26</t>
        </is>
      </c>
      <c r="H206" t="inlineStr">
        <is>
          <t>2025-11-02</t>
        </is>
      </c>
      <c r="I206" t="inlineStr">
        <is>
          <t>Standard</t>
        </is>
      </c>
      <c r="J206" t="inlineStr">
        <is>
          <t>Comptant</t>
        </is>
      </c>
      <c r="K206" t="n">
        <v>0</v>
      </c>
    </row>
    <row r="207">
      <c r="A207" t="n">
        <v>13205</v>
      </c>
      <c r="B207" t="inlineStr">
        <is>
          <t>SARL a</t>
        </is>
      </c>
      <c r="C207" t="inlineStr">
        <is>
          <t>Professionnel</t>
        </is>
      </c>
      <c r="D207" t="inlineStr">
        <is>
          <t>Koudougou</t>
        </is>
      </c>
      <c r="E207" t="inlineStr">
        <is>
          <t>Centre-Ouest</t>
        </is>
      </c>
      <c r="F207" t="inlineStr">
        <is>
          <t>+226 74 81 65 10 13</t>
        </is>
      </c>
      <c r="G207" t="inlineStr">
        <is>
          <t>contact13205@outlook.fr</t>
        </is>
      </c>
      <c r="H207" t="inlineStr">
        <is>
          <t>2020-10-12</t>
        </is>
      </c>
      <c r="I207" t="inlineStr">
        <is>
          <t>Standard</t>
        </is>
      </c>
      <c r="J207" t="inlineStr">
        <is>
          <t>Comptant</t>
        </is>
      </c>
      <c r="K207" t="n">
        <v>0</v>
      </c>
    </row>
    <row r="208">
      <c r="A208" t="n">
        <v>13264</v>
      </c>
      <c r="B208" t="inlineStr">
        <is>
          <t>Menage 13264</t>
        </is>
      </c>
      <c r="C208" t="inlineStr">
        <is>
          <t>Particulier</t>
        </is>
      </c>
      <c r="D208" t="inlineStr">
        <is>
          <t>Bobo-Dioulasso</t>
        </is>
      </c>
      <c r="E208" t="inlineStr">
        <is>
          <t>Hauts-Bassins</t>
        </is>
      </c>
      <c r="F208" t="inlineStr">
        <is>
          <t>+226 75 72 58 70 65</t>
        </is>
      </c>
      <c r="H208" t="inlineStr">
        <is>
          <t>2023-05-05</t>
        </is>
      </c>
      <c r="I208" t="inlineStr">
        <is>
          <t>Standard</t>
        </is>
      </c>
      <c r="J208" t="inlineStr">
        <is>
          <t>30 j</t>
        </is>
      </c>
      <c r="K208" t="n">
        <v>0</v>
      </c>
    </row>
    <row r="209">
      <c r="A209" t="n">
        <v>13348</v>
      </c>
      <c r="B209" t="inlineStr">
        <is>
          <t>Menage 13348</t>
        </is>
      </c>
      <c r="C209" t="inlineStr">
        <is>
          <t>Particulier</t>
        </is>
      </c>
      <c r="D209" t="inlineStr">
        <is>
          <t>Bobo-Dioulasso</t>
        </is>
      </c>
      <c r="E209" t="inlineStr">
        <is>
          <t>Hauts-Bassins</t>
        </is>
      </c>
      <c r="F209" t="inlineStr">
        <is>
          <t>+226 73 98 92 59 10</t>
        </is>
      </c>
      <c r="H209" t="inlineStr">
        <is>
          <t>2022-03-05</t>
        </is>
      </c>
      <c r="I209" t="inlineStr">
        <is>
          <t>Argent</t>
        </is>
      </c>
      <c r="J209" t="inlineStr">
        <is>
          <t>Comptant</t>
        </is>
      </c>
      <c r="K209" t="n">
        <v>0</v>
      </c>
    </row>
    <row r="210">
      <c r="A210" t="n">
        <v>13354</v>
      </c>
      <c r="B210" t="inlineStr">
        <is>
          <t>Menage 13354</t>
        </is>
      </c>
      <c r="C210" t="inlineStr">
        <is>
          <t>Particulier</t>
        </is>
      </c>
      <c r="D210" t="inlineStr">
        <is>
          <t>Ouagadougou</t>
        </is>
      </c>
      <c r="E210" t="inlineStr">
        <is>
          <t>Centre</t>
        </is>
      </c>
      <c r="F210" t="inlineStr">
        <is>
          <t>+226 72 52 31 69 83</t>
        </is>
      </c>
      <c r="H210" t="inlineStr">
        <is>
          <t>2019-06-25</t>
        </is>
      </c>
      <c r="I210" t="inlineStr">
        <is>
          <t>Argent</t>
        </is>
      </c>
      <c r="J210" t="inlineStr">
        <is>
          <t>60 j</t>
        </is>
      </c>
      <c r="K210" t="n">
        <v>0</v>
      </c>
    </row>
    <row r="211">
      <c r="A211" t="n">
        <v>13669</v>
      </c>
      <c r="B211" t="inlineStr">
        <is>
          <t>Menage 13669</t>
        </is>
      </c>
      <c r="C211" t="inlineStr">
        <is>
          <t>Particulier</t>
        </is>
      </c>
      <c r="D211" t="inlineStr">
        <is>
          <t>Ouagadougou</t>
        </is>
      </c>
      <c r="E211" t="inlineStr">
        <is>
          <t>Centre</t>
        </is>
      </c>
      <c r="F211" t="inlineStr">
        <is>
          <t>+226 78 69 60 59 27</t>
        </is>
      </c>
      <c r="H211" t="inlineStr">
        <is>
          <t>2023-09-05</t>
        </is>
      </c>
      <c r="I211" t="inlineStr">
        <is>
          <t>Standard</t>
        </is>
      </c>
      <c r="J211" t="inlineStr">
        <is>
          <t>Comptant</t>
        </is>
      </c>
      <c r="K211" t="n">
        <v>250000</v>
      </c>
    </row>
    <row r="212">
      <c r="A212" t="n">
        <v>13720</v>
      </c>
      <c r="B212" t="inlineStr">
        <is>
          <t>Menage 13720</t>
        </is>
      </c>
      <c r="C212" t="inlineStr">
        <is>
          <t>Particulier</t>
        </is>
      </c>
      <c r="D212" t="inlineStr">
        <is>
          <t>Bobo-Dioulasso</t>
        </is>
      </c>
      <c r="E212" t="inlineStr">
        <is>
          <t>Hauts-Bassins</t>
        </is>
      </c>
      <c r="F212" t="inlineStr">
        <is>
          <t>+226 70 99 96 74 39</t>
        </is>
      </c>
      <c r="H212" t="inlineStr">
        <is>
          <t>2022-02-17</t>
        </is>
      </c>
      <c r="I212" t="inlineStr">
        <is>
          <t>Standard</t>
        </is>
      </c>
      <c r="J212" t="inlineStr">
        <is>
          <t>Comptant</t>
        </is>
      </c>
      <c r="K212" t="n">
        <v>500000</v>
      </c>
    </row>
    <row r="213">
      <c r="A213" t="n">
        <v>13724</v>
      </c>
      <c r="B213" t="inlineStr">
        <is>
          <t>Menage 13724</t>
        </is>
      </c>
      <c r="C213" t="inlineStr">
        <is>
          <t>Particulier</t>
        </is>
      </c>
      <c r="D213" t="inlineStr">
        <is>
          <t>Ouagadougou</t>
        </is>
      </c>
      <c r="E213" t="inlineStr">
        <is>
          <t>Centre</t>
        </is>
      </c>
      <c r="F213" t="inlineStr">
        <is>
          <t>+226 71 32 73 50 35</t>
        </is>
      </c>
      <c r="H213" t="inlineStr">
        <is>
          <t>2023-12-28</t>
        </is>
      </c>
      <c r="I213" t="inlineStr">
        <is>
          <t>Standard</t>
        </is>
      </c>
      <c r="J213" t="inlineStr">
        <is>
          <t>60 j</t>
        </is>
      </c>
      <c r="K213" t="n">
        <v>250000</v>
      </c>
    </row>
    <row r="214">
      <c r="A214" t="n">
        <v>13771</v>
      </c>
      <c r="B214" t="inlineStr">
        <is>
          <t>SARL é</t>
        </is>
      </c>
      <c r="C214" t="inlineStr">
        <is>
          <t>Entreprise</t>
        </is>
      </c>
      <c r="D214" t="inlineStr">
        <is>
          <t>Kaya</t>
        </is>
      </c>
      <c r="E214" t="inlineStr">
        <is>
          <t>Centre-Nord</t>
        </is>
      </c>
      <c r="F214" t="inlineStr">
        <is>
          <t>+226 76 94 98 98 71</t>
        </is>
      </c>
      <c r="H214" t="inlineStr">
        <is>
          <t>2019-09-14</t>
        </is>
      </c>
      <c r="I214" t="inlineStr">
        <is>
          <t>Argent</t>
        </is>
      </c>
      <c r="J214" t="inlineStr">
        <is>
          <t>Comptant</t>
        </is>
      </c>
      <c r="K214" t="n">
        <v>500000</v>
      </c>
    </row>
    <row r="215">
      <c r="A215" t="n">
        <v>13808</v>
      </c>
      <c r="B215" t="inlineStr">
        <is>
          <t>Menage 13808</t>
        </is>
      </c>
      <c r="C215" t="inlineStr">
        <is>
          <t>Particulier</t>
        </is>
      </c>
      <c r="D215" t="inlineStr">
        <is>
          <t>Ouagadougou</t>
        </is>
      </c>
      <c r="E215" t="inlineStr">
        <is>
          <t>Centre</t>
        </is>
      </c>
      <c r="F215" t="inlineStr">
        <is>
          <t>+226 75 75 29 87 53</t>
        </is>
      </c>
      <c r="H215" t="inlineStr">
        <is>
          <t>2021-09-12</t>
        </is>
      </c>
      <c r="I215" t="inlineStr">
        <is>
          <t>Standard</t>
        </is>
      </c>
      <c r="J215" t="inlineStr">
        <is>
          <t>Comptant</t>
        </is>
      </c>
      <c r="K215" t="n">
        <v>5000000</v>
      </c>
    </row>
    <row r="216">
      <c r="A216" t="n">
        <v>13826</v>
      </c>
      <c r="B216" t="inlineStr">
        <is>
          <t>Ets o</t>
        </is>
      </c>
      <c r="C216" t="inlineStr">
        <is>
          <t>Entreprise</t>
        </is>
      </c>
      <c r="D216" t="inlineStr">
        <is>
          <t>Bobo-Dioulasso</t>
        </is>
      </c>
      <c r="E216" t="inlineStr">
        <is>
          <t>Hauts-Bassins</t>
        </is>
      </c>
      <c r="F216" t="inlineStr">
        <is>
          <t>+226 77 14 45 93 77</t>
        </is>
      </c>
      <c r="G216" t="inlineStr">
        <is>
          <t>contact13826@yahoo.fr</t>
        </is>
      </c>
      <c r="H216" t="inlineStr">
        <is>
          <t>2022-06-14</t>
        </is>
      </c>
      <c r="I216" t="inlineStr">
        <is>
          <t>Standard</t>
        </is>
      </c>
      <c r="J216" t="inlineStr">
        <is>
          <t>30 j</t>
        </is>
      </c>
      <c r="K216" t="n">
        <v>0</v>
      </c>
    </row>
    <row r="217">
      <c r="A217" t="n">
        <v>13902</v>
      </c>
      <c r="B217" t="inlineStr">
        <is>
          <t>Ets S</t>
        </is>
      </c>
      <c r="C217" t="inlineStr">
        <is>
          <t>Professionnel</t>
        </is>
      </c>
      <c r="D217" t="inlineStr">
        <is>
          <t>Ouagadougou</t>
        </is>
      </c>
      <c r="E217" t="inlineStr">
        <is>
          <t>Centre</t>
        </is>
      </c>
      <c r="F217" t="inlineStr">
        <is>
          <t>+226 77 56 66 92 95</t>
        </is>
      </c>
      <c r="G217" t="inlineStr">
        <is>
          <t>contact13902@gmail.com</t>
        </is>
      </c>
      <c r="H217" t="inlineStr">
        <is>
          <t>2023-02-22</t>
        </is>
      </c>
      <c r="I217" t="inlineStr">
        <is>
          <t>Standard</t>
        </is>
      </c>
      <c r="J217" t="inlineStr">
        <is>
          <t>Comptant</t>
        </is>
      </c>
      <c r="K217" t="n">
        <v>0</v>
      </c>
    </row>
    <row r="218">
      <c r="A218" t="n">
        <v>13905</v>
      </c>
      <c r="B218" t="inlineStr">
        <is>
          <t>Menage 13905</t>
        </is>
      </c>
      <c r="C218" t="inlineStr">
        <is>
          <t>Particulier</t>
        </is>
      </c>
      <c r="D218" t="inlineStr">
        <is>
          <t>Koudougou</t>
        </is>
      </c>
      <c r="E218" t="inlineStr">
        <is>
          <t>Centre-Ouest</t>
        </is>
      </c>
      <c r="F218" t="inlineStr">
        <is>
          <t>+226 79 78 39 31 25</t>
        </is>
      </c>
      <c r="H218" t="inlineStr">
        <is>
          <t>2017-08-31</t>
        </is>
      </c>
      <c r="I218" t="inlineStr">
        <is>
          <t>Or</t>
        </is>
      </c>
      <c r="J218" t="inlineStr">
        <is>
          <t>Comptant</t>
        </is>
      </c>
      <c r="K218" t="n">
        <v>0</v>
      </c>
    </row>
    <row r="219">
      <c r="A219" t="n">
        <v>13950</v>
      </c>
      <c r="B219" t="inlineStr">
        <is>
          <t>Societe a</t>
        </is>
      </c>
      <c r="C219" t="inlineStr">
        <is>
          <t>Professionnel</t>
        </is>
      </c>
      <c r="D219" t="inlineStr">
        <is>
          <t>Bobo-Dioulasso</t>
        </is>
      </c>
      <c r="E219" t="inlineStr">
        <is>
          <t>Hauts-Bassins</t>
        </is>
      </c>
      <c r="F219" t="inlineStr">
        <is>
          <t>+226 78 82 75 90 99</t>
        </is>
      </c>
      <c r="H219" t="inlineStr">
        <is>
          <t>2023-02-26</t>
        </is>
      </c>
      <c r="I219" t="inlineStr">
        <is>
          <t>Standard</t>
        </is>
      </c>
      <c r="J219" t="inlineStr">
        <is>
          <t>Comptant</t>
        </is>
      </c>
      <c r="K219" t="n">
        <v>1500000</v>
      </c>
    </row>
    <row r="220">
      <c r="A220" t="n">
        <v>13989</v>
      </c>
      <c r="B220" t="inlineStr">
        <is>
          <t>Chantiers u</t>
        </is>
      </c>
      <c r="C220" t="inlineStr">
        <is>
          <t>Entreprise</t>
        </is>
      </c>
      <c r="D220" t="inlineStr">
        <is>
          <t>Ouagadougou</t>
        </is>
      </c>
      <c r="E220" t="inlineStr">
        <is>
          <t>Centre</t>
        </is>
      </c>
      <c r="F220" t="inlineStr">
        <is>
          <t>+226 75 20 99 31 73</t>
        </is>
      </c>
      <c r="G220" t="inlineStr">
        <is>
          <t>contact13989@gmail.com</t>
        </is>
      </c>
      <c r="H220" t="inlineStr">
        <is>
          <t>2017-01-26</t>
        </is>
      </c>
      <c r="I220" t="inlineStr">
        <is>
          <t>Argent</t>
        </is>
      </c>
      <c r="J220" t="inlineStr">
        <is>
          <t>Comptant</t>
        </is>
      </c>
      <c r="K220" t="n">
        <v>500000</v>
      </c>
    </row>
    <row r="221">
      <c r="A221" t="n">
        <v>14106</v>
      </c>
      <c r="B221" t="inlineStr">
        <is>
          <t>Menage 14106</t>
        </is>
      </c>
      <c r="C221" t="inlineStr">
        <is>
          <t>Particulier</t>
        </is>
      </c>
      <c r="D221" t="inlineStr">
        <is>
          <t>Koudougou</t>
        </is>
      </c>
      <c r="E221" t="inlineStr">
        <is>
          <t>Centre-Ouest</t>
        </is>
      </c>
      <c r="F221" t="inlineStr">
        <is>
          <t>+226 78 47 12 15 59</t>
        </is>
      </c>
      <c r="H221" t="inlineStr">
        <is>
          <t>2018-01-12</t>
        </is>
      </c>
      <c r="I221" t="inlineStr">
        <is>
          <t>Argent</t>
        </is>
      </c>
      <c r="J221" t="inlineStr">
        <is>
          <t>Comptant</t>
        </is>
      </c>
      <c r="K221" t="n">
        <v>0</v>
      </c>
    </row>
    <row r="222">
      <c r="A222" t="n">
        <v>14287</v>
      </c>
      <c r="B222" t="inlineStr">
        <is>
          <t>Menage 14287</t>
        </is>
      </c>
      <c r="C222" t="inlineStr">
        <is>
          <t>Particulier</t>
        </is>
      </c>
      <c r="D222" t="inlineStr">
        <is>
          <t>Bobo-Dioulasso</t>
        </is>
      </c>
      <c r="E222" t="inlineStr">
        <is>
          <t>Hauts-Bassins</t>
        </is>
      </c>
      <c r="F222" t="inlineStr">
        <is>
          <t>+226 74 44 75 34 62</t>
        </is>
      </c>
      <c r="H222" t="inlineStr">
        <is>
          <t>2018-09-27</t>
        </is>
      </c>
      <c r="I222" t="inlineStr">
        <is>
          <t>Standard</t>
        </is>
      </c>
      <c r="J222" t="inlineStr">
        <is>
          <t>Comptant</t>
        </is>
      </c>
      <c r="K222" t="n">
        <v>250000</v>
      </c>
    </row>
    <row r="223">
      <c r="A223" t="n">
        <v>14290</v>
      </c>
      <c r="B223" t="inlineStr">
        <is>
          <t>Ets a</t>
        </is>
      </c>
      <c r="C223" t="inlineStr">
        <is>
          <t>Professionnel</t>
        </is>
      </c>
      <c r="D223" t="inlineStr">
        <is>
          <t>Ouagadougou</t>
        </is>
      </c>
      <c r="E223" t="inlineStr">
        <is>
          <t>Centre</t>
        </is>
      </c>
      <c r="F223" t="inlineStr">
        <is>
          <t>+226 76 90 27 83 63</t>
        </is>
      </c>
      <c r="G223" t="inlineStr">
        <is>
          <t>contact14290@yahoo.fr</t>
        </is>
      </c>
      <c r="H223" t="inlineStr">
        <is>
          <t>2022-03-19</t>
        </is>
      </c>
      <c r="I223" t="inlineStr">
        <is>
          <t>Argent</t>
        </is>
      </c>
      <c r="J223" t="inlineStr">
        <is>
          <t>Comptant</t>
        </is>
      </c>
      <c r="K223" t="n">
        <v>1500000</v>
      </c>
    </row>
    <row r="224">
      <c r="A224" t="n">
        <v>14299</v>
      </c>
      <c r="B224" t="inlineStr">
        <is>
          <t>Ets a</t>
        </is>
      </c>
      <c r="C224" t="inlineStr">
        <is>
          <t>Entreprise</t>
        </is>
      </c>
      <c r="D224" t="inlineStr">
        <is>
          <t>Ouagadougou</t>
        </is>
      </c>
      <c r="E224" t="inlineStr">
        <is>
          <t>Centre</t>
        </is>
      </c>
      <c r="F224" t="inlineStr">
        <is>
          <t>+226 74 31 71 69 66</t>
        </is>
      </c>
      <c r="G224" t="inlineStr">
        <is>
          <t>contact14299@entreprise.bf</t>
        </is>
      </c>
      <c r="H224" t="inlineStr">
        <is>
          <t>2018-05-17</t>
        </is>
      </c>
      <c r="I224" t="inlineStr">
        <is>
          <t>Standard</t>
        </is>
      </c>
      <c r="J224" t="inlineStr">
        <is>
          <t>Comptant</t>
        </is>
      </c>
      <c r="K224" t="n">
        <v>500000</v>
      </c>
    </row>
    <row r="225">
      <c r="A225" t="n">
        <v>14457</v>
      </c>
      <c r="B225" t="inlineStr">
        <is>
          <t>Menage 14457</t>
        </is>
      </c>
      <c r="C225" t="inlineStr">
        <is>
          <t>Particulier</t>
        </is>
      </c>
      <c r="D225" t="inlineStr">
        <is>
          <t>Koudougou</t>
        </is>
      </c>
      <c r="E225" t="inlineStr">
        <is>
          <t>Centre-Ouest</t>
        </is>
      </c>
      <c r="F225" t="inlineStr">
        <is>
          <t>+226 73 17 60 43 21</t>
        </is>
      </c>
      <c r="H225" t="inlineStr">
        <is>
          <t>2023-10-20</t>
        </is>
      </c>
      <c r="I225" t="inlineStr">
        <is>
          <t>Argent</t>
        </is>
      </c>
      <c r="J225" t="inlineStr">
        <is>
          <t>Comptant</t>
        </is>
      </c>
      <c r="K225" t="n">
        <v>0</v>
      </c>
    </row>
    <row r="226">
      <c r="A226" t="n">
        <v>14519</v>
      </c>
      <c r="B226" t="inlineStr">
        <is>
          <t>Ets o</t>
        </is>
      </c>
      <c r="C226" t="inlineStr">
        <is>
          <t>Professionnel</t>
        </is>
      </c>
      <c r="D226" t="inlineStr">
        <is>
          <t>Ouagadougou</t>
        </is>
      </c>
      <c r="E226" t="inlineStr">
        <is>
          <t>Centre</t>
        </is>
      </c>
      <c r="F226" t="inlineStr">
        <is>
          <t>+226 74 95 71 36 88</t>
        </is>
      </c>
      <c r="H226" t="inlineStr">
        <is>
          <t>2019-05-26</t>
        </is>
      </c>
      <c r="I226" t="inlineStr">
        <is>
          <t>Standard</t>
        </is>
      </c>
      <c r="J226" t="inlineStr">
        <is>
          <t>30 j</t>
        </is>
      </c>
      <c r="K226" t="n">
        <v>0</v>
      </c>
    </row>
    <row r="227">
      <c r="A227" t="n">
        <v>14525</v>
      </c>
      <c r="B227" t="inlineStr">
        <is>
          <t>Menage 14525</t>
        </is>
      </c>
      <c r="C227" t="inlineStr">
        <is>
          <t>Particulier</t>
        </is>
      </c>
      <c r="D227" t="inlineStr">
        <is>
          <t>Ouagadougou</t>
        </is>
      </c>
      <c r="E227" t="inlineStr">
        <is>
          <t>Centre</t>
        </is>
      </c>
      <c r="F227" t="inlineStr">
        <is>
          <t>+226 77 78 11 17 41</t>
        </is>
      </c>
      <c r="H227" t="inlineStr">
        <is>
          <t>2021-06-20</t>
        </is>
      </c>
      <c r="I227" t="inlineStr">
        <is>
          <t>Standard</t>
        </is>
      </c>
      <c r="J227" t="inlineStr">
        <is>
          <t>30 j</t>
        </is>
      </c>
      <c r="K227" t="n">
        <v>500000</v>
      </c>
    </row>
    <row r="228">
      <c r="A228" t="n">
        <v>14630</v>
      </c>
      <c r="B228" t="inlineStr">
        <is>
          <t>Societe T</t>
        </is>
      </c>
      <c r="C228" t="inlineStr">
        <is>
          <t>Professionnel</t>
        </is>
      </c>
      <c r="D228" t="inlineStr">
        <is>
          <t>Ziniaré</t>
        </is>
      </c>
      <c r="E228" t="inlineStr">
        <is>
          <t>Plateau-Central</t>
        </is>
      </c>
      <c r="F228" t="inlineStr">
        <is>
          <t>+226 79 31 36 87 90</t>
        </is>
      </c>
      <c r="G228" t="inlineStr">
        <is>
          <t>contact14630@yahoo.fr</t>
        </is>
      </c>
      <c r="H228" t="inlineStr">
        <is>
          <t>2016-02-14</t>
        </is>
      </c>
      <c r="I228" t="inlineStr">
        <is>
          <t>Argent</t>
        </is>
      </c>
      <c r="J228" t="inlineStr">
        <is>
          <t>Comptant</t>
        </is>
      </c>
      <c r="K228" t="n">
        <v>0</v>
      </c>
    </row>
    <row r="229">
      <c r="A229" t="n">
        <v>14644</v>
      </c>
      <c r="B229" t="inlineStr">
        <is>
          <t>Menage 14644</t>
        </is>
      </c>
      <c r="C229" t="inlineStr">
        <is>
          <t>Particulier</t>
        </is>
      </c>
      <c r="D229" t="inlineStr">
        <is>
          <t>Ouagadougou</t>
        </is>
      </c>
      <c r="E229" t="inlineStr">
        <is>
          <t>Centre</t>
        </is>
      </c>
      <c r="F229" t="inlineStr">
        <is>
          <t>+226 77 28 83 17 27</t>
        </is>
      </c>
      <c r="H229" t="inlineStr">
        <is>
          <t>2022-06-29</t>
        </is>
      </c>
      <c r="I229" t="inlineStr">
        <is>
          <t>Argent</t>
        </is>
      </c>
      <c r="J229" t="inlineStr">
        <is>
          <t>30 j</t>
        </is>
      </c>
      <c r="K229" t="n">
        <v>500000</v>
      </c>
    </row>
    <row r="230">
      <c r="A230" t="n">
        <v>14652</v>
      </c>
      <c r="B230" t="inlineStr">
        <is>
          <t>SARL i</t>
        </is>
      </c>
      <c r="C230" t="inlineStr">
        <is>
          <t>Professionnel</t>
        </is>
      </c>
      <c r="D230" t="inlineStr">
        <is>
          <t>Bobo-Dioulasso</t>
        </is>
      </c>
      <c r="E230" t="inlineStr">
        <is>
          <t>Hauts-Bassins</t>
        </is>
      </c>
      <c r="F230" t="inlineStr">
        <is>
          <t>+226 71 50 28 89 90</t>
        </is>
      </c>
      <c r="G230" t="inlineStr">
        <is>
          <t>contact14652@gmail.com</t>
        </is>
      </c>
      <c r="H230" t="inlineStr">
        <is>
          <t>2019-03-04</t>
        </is>
      </c>
      <c r="I230" t="inlineStr">
        <is>
          <t>Standard</t>
        </is>
      </c>
      <c r="J230" t="inlineStr">
        <is>
          <t>Comptant</t>
        </is>
      </c>
      <c r="K230" t="n">
        <v>1500000</v>
      </c>
    </row>
    <row r="231">
      <c r="A231" t="n">
        <v>14715</v>
      </c>
      <c r="B231" t="inlineStr">
        <is>
          <t>Menage 14715</t>
        </is>
      </c>
      <c r="C231" t="inlineStr">
        <is>
          <t>Particulier</t>
        </is>
      </c>
      <c r="D231" t="inlineStr">
        <is>
          <t>Ouagadougou</t>
        </is>
      </c>
      <c r="E231" t="inlineStr">
        <is>
          <t>Centre</t>
        </is>
      </c>
      <c r="F231" t="inlineStr">
        <is>
          <t>+226 73 16 84 88 32</t>
        </is>
      </c>
      <c r="H231" t="inlineStr">
        <is>
          <t>2016-08-02</t>
        </is>
      </c>
      <c r="I231" t="inlineStr">
        <is>
          <t>Argent</t>
        </is>
      </c>
      <c r="J231" t="inlineStr">
        <is>
          <t>Comptant</t>
        </is>
      </c>
      <c r="K231" t="n">
        <v>0</v>
      </c>
    </row>
    <row r="232">
      <c r="A232" t="n">
        <v>14729</v>
      </c>
      <c r="B232" t="inlineStr">
        <is>
          <t>Menage 14729</t>
        </is>
      </c>
      <c r="C232" t="inlineStr">
        <is>
          <t>Particulier</t>
        </is>
      </c>
      <c r="D232" t="inlineStr">
        <is>
          <t>Koudougou</t>
        </is>
      </c>
      <c r="E232" t="inlineStr">
        <is>
          <t>Centre-Ouest</t>
        </is>
      </c>
      <c r="F232" t="inlineStr">
        <is>
          <t>+226 78 44 16 26 91</t>
        </is>
      </c>
      <c r="H232" t="inlineStr">
        <is>
          <t>2023-09-21</t>
        </is>
      </c>
      <c r="I232" t="inlineStr">
        <is>
          <t>Argent</t>
        </is>
      </c>
      <c r="J232" t="inlineStr">
        <is>
          <t>30 j</t>
        </is>
      </c>
      <c r="K232" t="n">
        <v>0</v>
      </c>
    </row>
    <row r="233">
      <c r="A233" t="n">
        <v>14924</v>
      </c>
      <c r="B233" t="inlineStr">
        <is>
          <t>Menage 14924</t>
        </is>
      </c>
      <c r="C233" t="inlineStr">
        <is>
          <t>Particulier</t>
        </is>
      </c>
      <c r="D233" t="inlineStr">
        <is>
          <t>Kaya</t>
        </is>
      </c>
      <c r="E233" t="inlineStr">
        <is>
          <t>Centre-Nord</t>
        </is>
      </c>
      <c r="F233" t="inlineStr">
        <is>
          <t>+226 72 76 66 36 65</t>
        </is>
      </c>
      <c r="H233" t="inlineStr">
        <is>
          <t>2025-05-07</t>
        </is>
      </c>
      <c r="I233" t="inlineStr">
        <is>
          <t>Standard</t>
        </is>
      </c>
      <c r="J233" t="inlineStr">
        <is>
          <t>30 j</t>
        </is>
      </c>
      <c r="K233" t="n">
        <v>0</v>
      </c>
    </row>
    <row r="234">
      <c r="A234" t="n">
        <v>14936</v>
      </c>
      <c r="B234" t="inlineStr">
        <is>
          <t>SARL Z</t>
        </is>
      </c>
      <c r="C234" t="inlineStr">
        <is>
          <t>Professionnel</t>
        </is>
      </c>
      <c r="D234" t="inlineStr">
        <is>
          <t>Ziniaré</t>
        </is>
      </c>
      <c r="E234" t="inlineStr">
        <is>
          <t>Plateau-Central</t>
        </is>
      </c>
      <c r="F234" t="inlineStr">
        <is>
          <t>+226 77 88 32 87 53</t>
        </is>
      </c>
      <c r="G234" t="inlineStr">
        <is>
          <t>contact14936@entreprise.bf</t>
        </is>
      </c>
      <c r="H234" t="inlineStr">
        <is>
          <t>2022-05-23</t>
        </is>
      </c>
      <c r="I234" t="inlineStr">
        <is>
          <t>Argent</t>
        </is>
      </c>
      <c r="J234" t="inlineStr">
        <is>
          <t>Comptant</t>
        </is>
      </c>
      <c r="K234" t="n">
        <v>500000</v>
      </c>
    </row>
    <row r="235">
      <c r="A235" t="n">
        <v>14949</v>
      </c>
      <c r="B235" t="inlineStr">
        <is>
          <t>Chantiers K</t>
        </is>
      </c>
      <c r="C235" t="inlineStr">
        <is>
          <t>Professionnel</t>
        </is>
      </c>
      <c r="D235" t="inlineStr">
        <is>
          <t>Kaya</t>
        </is>
      </c>
      <c r="E235" t="inlineStr">
        <is>
          <t>Centre-Nord</t>
        </is>
      </c>
      <c r="F235" t="inlineStr">
        <is>
          <t>+226 70 28 90 68 12</t>
        </is>
      </c>
      <c r="G235" t="inlineStr">
        <is>
          <t>contact14949@entreprise.bf</t>
        </is>
      </c>
      <c r="H235" t="inlineStr">
        <is>
          <t>2019-05-02</t>
        </is>
      </c>
      <c r="I235" t="inlineStr">
        <is>
          <t>Or</t>
        </is>
      </c>
      <c r="J235" t="inlineStr">
        <is>
          <t>Comptant</t>
        </is>
      </c>
      <c r="K235" t="n">
        <v>0</v>
      </c>
    </row>
    <row r="236">
      <c r="A236" t="n">
        <v>14952</v>
      </c>
      <c r="B236" t="inlineStr">
        <is>
          <t>Menage 14952</t>
        </is>
      </c>
      <c r="C236" t="inlineStr">
        <is>
          <t>Particulier</t>
        </is>
      </c>
      <c r="D236" t="inlineStr">
        <is>
          <t>Ziniaré</t>
        </is>
      </c>
      <c r="E236" t="inlineStr">
        <is>
          <t>Plateau-Central</t>
        </is>
      </c>
      <c r="F236" t="inlineStr">
        <is>
          <t>+226 74 89 63 62 22</t>
        </is>
      </c>
      <c r="H236" t="inlineStr">
        <is>
          <t>2025-03-24</t>
        </is>
      </c>
      <c r="I236" t="inlineStr">
        <is>
          <t>Argent</t>
        </is>
      </c>
      <c r="J236" t="inlineStr">
        <is>
          <t>60 j</t>
        </is>
      </c>
      <c r="K236" t="n">
        <v>250000</v>
      </c>
    </row>
    <row r="237">
      <c r="A237" t="n">
        <v>14971</v>
      </c>
      <c r="B237" t="inlineStr">
        <is>
          <t>Menage 14971</t>
        </is>
      </c>
      <c r="C237" t="inlineStr">
        <is>
          <t>Particulier</t>
        </is>
      </c>
      <c r="D237" t="inlineStr">
        <is>
          <t>Ouagadougou</t>
        </is>
      </c>
      <c r="E237" t="inlineStr">
        <is>
          <t>Centre</t>
        </is>
      </c>
      <c r="F237" t="inlineStr">
        <is>
          <t>+226 75 42 71 42 77</t>
        </is>
      </c>
      <c r="H237" t="inlineStr">
        <is>
          <t>2026-04-06</t>
        </is>
      </c>
      <c r="I237" t="inlineStr">
        <is>
          <t>Argent</t>
        </is>
      </c>
      <c r="J237" t="inlineStr">
        <is>
          <t>Comptant</t>
        </is>
      </c>
      <c r="K237" t="n">
        <v>250000</v>
      </c>
    </row>
    <row r="238">
      <c r="A238" t="n">
        <v>14974</v>
      </c>
      <c r="B238" t="inlineStr">
        <is>
          <t>Chantiers s</t>
        </is>
      </c>
      <c r="C238" t="inlineStr">
        <is>
          <t>Professionnel</t>
        </is>
      </c>
      <c r="D238" t="inlineStr">
        <is>
          <t>Ziniaré</t>
        </is>
      </c>
      <c r="E238" t="inlineStr">
        <is>
          <t>Plateau-Central</t>
        </is>
      </c>
      <c r="F238" t="inlineStr">
        <is>
          <t>+226 73 29 47 99 48</t>
        </is>
      </c>
      <c r="G238" t="inlineStr">
        <is>
          <t>contact14974@outlook.fr</t>
        </is>
      </c>
      <c r="H238" t="inlineStr">
        <is>
          <t>2019-03-31</t>
        </is>
      </c>
      <c r="I238" t="inlineStr">
        <is>
          <t>Or</t>
        </is>
      </c>
      <c r="J238" t="inlineStr">
        <is>
          <t>Comptant</t>
        </is>
      </c>
      <c r="K238" t="n">
        <v>0</v>
      </c>
    </row>
    <row r="239">
      <c r="A239" t="n">
        <v>14999</v>
      </c>
      <c r="B239" t="inlineStr">
        <is>
          <t>Ets a</t>
        </is>
      </c>
      <c r="C239" t="inlineStr">
        <is>
          <t>Entreprise</t>
        </is>
      </c>
      <c r="D239" t="inlineStr">
        <is>
          <t>Ziniaré</t>
        </is>
      </c>
      <c r="E239" t="inlineStr">
        <is>
          <t>Plateau-Central</t>
        </is>
      </c>
      <c r="F239" t="inlineStr">
        <is>
          <t>+226 78 43 24 59 98</t>
        </is>
      </c>
      <c r="G239" t="inlineStr">
        <is>
          <t>contact14999@entreprise.bf</t>
        </is>
      </c>
      <c r="H239" t="inlineStr">
        <is>
          <t>2021-11-06</t>
        </is>
      </c>
      <c r="I239" t="inlineStr">
        <is>
          <t>Argent</t>
        </is>
      </c>
      <c r="J239" t="inlineStr">
        <is>
          <t>Comptant</t>
        </is>
      </c>
      <c r="K239" t="n">
        <v>0</v>
      </c>
    </row>
    <row r="240">
      <c r="A240" t="n">
        <v>15037</v>
      </c>
      <c r="B240" t="inlineStr">
        <is>
          <t>Menage 15037</t>
        </is>
      </c>
      <c r="C240" t="inlineStr">
        <is>
          <t>Particulier</t>
        </is>
      </c>
      <c r="D240" t="inlineStr">
        <is>
          <t>Ouagadougou</t>
        </is>
      </c>
      <c r="E240" t="inlineStr">
        <is>
          <t>Centre</t>
        </is>
      </c>
      <c r="F240" t="inlineStr">
        <is>
          <t>+226 75 29 12 84 23</t>
        </is>
      </c>
      <c r="H240" t="inlineStr">
        <is>
          <t>2021-05-15</t>
        </is>
      </c>
      <c r="I240" t="inlineStr">
        <is>
          <t>Or</t>
        </is>
      </c>
      <c r="J240" t="inlineStr">
        <is>
          <t>Comptant</t>
        </is>
      </c>
      <c r="K240" t="n">
        <v>1500000</v>
      </c>
    </row>
    <row r="241">
      <c r="A241" t="n">
        <v>15215</v>
      </c>
      <c r="B241" t="inlineStr">
        <is>
          <t>Menage 15215</t>
        </is>
      </c>
      <c r="C241" t="inlineStr">
        <is>
          <t>Particulier</t>
        </is>
      </c>
      <c r="D241" t="inlineStr">
        <is>
          <t>Ouagadougou</t>
        </is>
      </c>
      <c r="E241" t="inlineStr">
        <is>
          <t>Centre</t>
        </is>
      </c>
      <c r="F241" t="inlineStr">
        <is>
          <t>+226 77 68 19 71 14</t>
        </is>
      </c>
      <c r="H241" t="inlineStr">
        <is>
          <t>2021-12-21</t>
        </is>
      </c>
      <c r="I241" t="inlineStr">
        <is>
          <t>Argent</t>
        </is>
      </c>
      <c r="J241" t="inlineStr">
        <is>
          <t>Comptant</t>
        </is>
      </c>
      <c r="K241" t="n">
        <v>500000</v>
      </c>
    </row>
    <row r="242">
      <c r="A242" t="n">
        <v>15288</v>
      </c>
      <c r="B242" t="inlineStr">
        <is>
          <t>SARL D</t>
        </is>
      </c>
      <c r="C242" t="inlineStr">
        <is>
          <t>Entreprise</t>
        </is>
      </c>
      <c r="D242" t="inlineStr">
        <is>
          <t>Kaya</t>
        </is>
      </c>
      <c r="E242" t="inlineStr">
        <is>
          <t>Centre-Nord</t>
        </is>
      </c>
      <c r="F242" t="inlineStr">
        <is>
          <t>+226 70 52 25 92 66</t>
        </is>
      </c>
      <c r="G242" t="inlineStr">
        <is>
          <t>contact15288@entreprise.bf</t>
        </is>
      </c>
      <c r="H242" t="inlineStr">
        <is>
          <t>2018-06-28</t>
        </is>
      </c>
      <c r="I242" t="inlineStr">
        <is>
          <t>Standard</t>
        </is>
      </c>
      <c r="J242" t="inlineStr">
        <is>
          <t>Comptant</t>
        </is>
      </c>
      <c r="K242" t="n">
        <v>0</v>
      </c>
    </row>
    <row r="243">
      <c r="A243" t="n">
        <v>15376</v>
      </c>
      <c r="B243" t="inlineStr">
        <is>
          <t>Menage 15376</t>
        </is>
      </c>
      <c r="C243" t="inlineStr">
        <is>
          <t>Particulier</t>
        </is>
      </c>
      <c r="D243" t="inlineStr">
        <is>
          <t>Ziniaré</t>
        </is>
      </c>
      <c r="E243" t="inlineStr">
        <is>
          <t>Plateau-Central</t>
        </is>
      </c>
      <c r="F243" t="inlineStr">
        <is>
          <t>+226 74 16 62 27 78</t>
        </is>
      </c>
      <c r="H243" t="inlineStr">
        <is>
          <t>2017-05-05</t>
        </is>
      </c>
      <c r="I243" t="inlineStr">
        <is>
          <t>Standard</t>
        </is>
      </c>
      <c r="J243" t="inlineStr">
        <is>
          <t>Comptant</t>
        </is>
      </c>
      <c r="K243" t="n">
        <v>0</v>
      </c>
    </row>
    <row r="244">
      <c r="A244" t="n">
        <v>15557</v>
      </c>
      <c r="B244" t="inlineStr">
        <is>
          <t>Menage 15557</t>
        </is>
      </c>
      <c r="C244" t="inlineStr">
        <is>
          <t>Particulier</t>
        </is>
      </c>
      <c r="D244" t="inlineStr">
        <is>
          <t>Ouagadougou</t>
        </is>
      </c>
      <c r="E244" t="inlineStr">
        <is>
          <t>Centre</t>
        </is>
      </c>
      <c r="F244" t="inlineStr">
        <is>
          <t>+226 76 17 39 68 19</t>
        </is>
      </c>
      <c r="H244" t="inlineStr">
        <is>
          <t>2016-09-01</t>
        </is>
      </c>
      <c r="I244" t="inlineStr">
        <is>
          <t>Argent</t>
        </is>
      </c>
      <c r="J244" t="inlineStr">
        <is>
          <t>30 j</t>
        </is>
      </c>
      <c r="K244" t="n">
        <v>500000</v>
      </c>
    </row>
    <row r="245">
      <c r="A245" t="n">
        <v>15643</v>
      </c>
      <c r="B245" t="inlineStr">
        <is>
          <t>Menage 15643</t>
        </is>
      </c>
      <c r="C245" t="inlineStr">
        <is>
          <t>Particulier</t>
        </is>
      </c>
      <c r="D245" t="inlineStr">
        <is>
          <t>Bobo-Dioulasso</t>
        </is>
      </c>
      <c r="E245" t="inlineStr">
        <is>
          <t>Hauts-Bassins</t>
        </is>
      </c>
      <c r="F245" t="inlineStr">
        <is>
          <t>+226 75 44 86 52 70</t>
        </is>
      </c>
      <c r="H245" t="inlineStr">
        <is>
          <t>2020-05-02</t>
        </is>
      </c>
      <c r="I245" t="inlineStr">
        <is>
          <t>Standard</t>
        </is>
      </c>
      <c r="J245" t="inlineStr">
        <is>
          <t>Comptant</t>
        </is>
      </c>
      <c r="K245" t="n">
        <v>250000</v>
      </c>
    </row>
    <row r="246">
      <c r="A246" t="n">
        <v>15664</v>
      </c>
      <c r="B246" t="inlineStr">
        <is>
          <t>Societe t</t>
        </is>
      </c>
      <c r="C246" t="inlineStr">
        <is>
          <t>Professionnel</t>
        </is>
      </c>
      <c r="D246" t="inlineStr">
        <is>
          <t>Bobo-Dioulasso</t>
        </is>
      </c>
      <c r="E246" t="inlineStr">
        <is>
          <t>Hauts-Bassins</t>
        </is>
      </c>
      <c r="F246" t="inlineStr">
        <is>
          <t>+226 72 35 79 95 43</t>
        </is>
      </c>
      <c r="G246" t="inlineStr">
        <is>
          <t>contact15664@outlook.fr</t>
        </is>
      </c>
      <c r="H246" t="inlineStr">
        <is>
          <t>2022-07-08</t>
        </is>
      </c>
      <c r="I246" t="inlineStr">
        <is>
          <t>Argent</t>
        </is>
      </c>
      <c r="J246" t="inlineStr">
        <is>
          <t>60 j</t>
        </is>
      </c>
      <c r="K246" t="n">
        <v>500000</v>
      </c>
    </row>
    <row r="247">
      <c r="A247" t="n">
        <v>15812</v>
      </c>
      <c r="B247" t="inlineStr">
        <is>
          <t>Ets a</t>
        </is>
      </c>
      <c r="C247" t="inlineStr">
        <is>
          <t>Professionnel</t>
        </is>
      </c>
      <c r="D247" t="inlineStr">
        <is>
          <t>Bobo-Dioulasso</t>
        </is>
      </c>
      <c r="E247" t="inlineStr">
        <is>
          <t>Hauts-Bassins</t>
        </is>
      </c>
      <c r="F247" t="inlineStr">
        <is>
          <t>+226 74 14 36 94 50</t>
        </is>
      </c>
      <c r="H247" t="inlineStr">
        <is>
          <t>2019-10-03</t>
        </is>
      </c>
      <c r="I247" t="inlineStr">
        <is>
          <t>Argent</t>
        </is>
      </c>
      <c r="J247" t="inlineStr">
        <is>
          <t>Comptant</t>
        </is>
      </c>
      <c r="K247" t="n">
        <v>0</v>
      </c>
    </row>
    <row r="248">
      <c r="A248" t="n">
        <v>15857</v>
      </c>
      <c r="B248" t="inlineStr">
        <is>
          <t>Menage 15857</t>
        </is>
      </c>
      <c r="C248" t="inlineStr">
        <is>
          <t>Particulier</t>
        </is>
      </c>
      <c r="D248" t="inlineStr">
        <is>
          <t>Koudougou</t>
        </is>
      </c>
      <c r="E248" t="inlineStr">
        <is>
          <t>Centre-Ouest</t>
        </is>
      </c>
      <c r="F248" t="inlineStr">
        <is>
          <t>+226 77 13 14 64 57</t>
        </is>
      </c>
      <c r="H248" t="inlineStr">
        <is>
          <t>2020-07-01</t>
        </is>
      </c>
      <c r="I248" t="inlineStr">
        <is>
          <t>Argent</t>
        </is>
      </c>
      <c r="J248" t="inlineStr">
        <is>
          <t>30 j</t>
        </is>
      </c>
      <c r="K248" t="n">
        <v>250000</v>
      </c>
    </row>
    <row r="249">
      <c r="A249" t="n">
        <v>15965</v>
      </c>
      <c r="B249" t="inlineStr">
        <is>
          <t>Menage 15965</t>
        </is>
      </c>
      <c r="C249" t="inlineStr">
        <is>
          <t>Particulier</t>
        </is>
      </c>
      <c r="D249" t="inlineStr">
        <is>
          <t>Koudougou</t>
        </is>
      </c>
      <c r="E249" t="inlineStr">
        <is>
          <t>Centre-Ouest</t>
        </is>
      </c>
      <c r="F249" t="inlineStr">
        <is>
          <t>+226 74 26 54 53 14</t>
        </is>
      </c>
      <c r="H249" t="inlineStr">
        <is>
          <t>2021-05-24</t>
        </is>
      </c>
      <c r="I249" t="inlineStr">
        <is>
          <t>Or</t>
        </is>
      </c>
      <c r="J249" t="inlineStr">
        <is>
          <t>Comptant</t>
        </is>
      </c>
      <c r="K249" t="n">
        <v>0</v>
      </c>
    </row>
    <row r="250">
      <c r="A250" t="n">
        <v>16001</v>
      </c>
      <c r="B250" t="inlineStr">
        <is>
          <t>Menage 16001</t>
        </is>
      </c>
      <c r="C250" t="inlineStr">
        <is>
          <t>Particulier</t>
        </is>
      </c>
      <c r="D250" t="inlineStr">
        <is>
          <t>Kaya</t>
        </is>
      </c>
      <c r="E250" t="inlineStr">
        <is>
          <t>Centre-Nord</t>
        </is>
      </c>
      <c r="F250" t="inlineStr">
        <is>
          <t>+226 74 89 22 56 63</t>
        </is>
      </c>
      <c r="H250" t="inlineStr">
        <is>
          <t>2026-04-18</t>
        </is>
      </c>
      <c r="I250" t="inlineStr">
        <is>
          <t>Standard</t>
        </is>
      </c>
      <c r="J250" t="inlineStr">
        <is>
          <t>Comptant</t>
        </is>
      </c>
      <c r="K250" t="n">
        <v>1500000</v>
      </c>
    </row>
    <row r="251">
      <c r="A251" t="n">
        <v>16057</v>
      </c>
      <c r="B251" t="inlineStr">
        <is>
          <t>Menage 16057</t>
        </is>
      </c>
      <c r="C251" t="inlineStr">
        <is>
          <t>Particulier</t>
        </is>
      </c>
      <c r="D251" t="inlineStr">
        <is>
          <t>Ouagadougou</t>
        </is>
      </c>
      <c r="E251" t="inlineStr">
        <is>
          <t>Centre</t>
        </is>
      </c>
      <c r="F251" t="inlineStr">
        <is>
          <t>+226 70 42 77 35 37</t>
        </is>
      </c>
      <c r="H251" t="inlineStr">
        <is>
          <t>2017-06-12</t>
        </is>
      </c>
      <c r="I251" t="inlineStr">
        <is>
          <t>Standard</t>
        </is>
      </c>
      <c r="J251" t="inlineStr">
        <is>
          <t>30 j</t>
        </is>
      </c>
      <c r="K251" t="n">
        <v>0</v>
      </c>
    </row>
    <row r="252">
      <c r="A252" t="n">
        <v>16066</v>
      </c>
      <c r="B252" t="inlineStr">
        <is>
          <t>Societe é</t>
        </is>
      </c>
      <c r="C252" t="inlineStr">
        <is>
          <t>Professionnel</t>
        </is>
      </c>
      <c r="D252" t="inlineStr">
        <is>
          <t>Bobo-Dioulasso</t>
        </is>
      </c>
      <c r="E252" t="inlineStr">
        <is>
          <t>Hauts-Bassins</t>
        </is>
      </c>
      <c r="F252" t="inlineStr">
        <is>
          <t>+226 72 69 86 21 45</t>
        </is>
      </c>
      <c r="H252" t="inlineStr">
        <is>
          <t>2026-04-14</t>
        </is>
      </c>
      <c r="I252" t="inlineStr">
        <is>
          <t>Standard</t>
        </is>
      </c>
      <c r="J252" t="inlineStr">
        <is>
          <t>30 j</t>
        </is>
      </c>
      <c r="K252" t="n">
        <v>0</v>
      </c>
    </row>
    <row r="253">
      <c r="A253" t="n">
        <v>16069</v>
      </c>
      <c r="B253" t="inlineStr">
        <is>
          <t>Societe t</t>
        </is>
      </c>
      <c r="C253" t="inlineStr">
        <is>
          <t>Professionnel</t>
        </is>
      </c>
      <c r="D253" t="inlineStr">
        <is>
          <t>Ziniaré</t>
        </is>
      </c>
      <c r="E253" t="inlineStr">
        <is>
          <t>Plateau-Central</t>
        </is>
      </c>
      <c r="F253" t="inlineStr">
        <is>
          <t>+226 74 36 26 95 20</t>
        </is>
      </c>
      <c r="G253" t="inlineStr">
        <is>
          <t>contact16069@yahoo.fr</t>
        </is>
      </c>
      <c r="H253" t="inlineStr">
        <is>
          <t>2022-01-15</t>
        </is>
      </c>
      <c r="I253" t="inlineStr">
        <is>
          <t>Standard</t>
        </is>
      </c>
      <c r="J253" t="inlineStr">
        <is>
          <t>30 j</t>
        </is>
      </c>
      <c r="K253" t="n">
        <v>5000000</v>
      </c>
    </row>
    <row r="254">
      <c r="A254" t="n">
        <v>16109</v>
      </c>
      <c r="B254" t="inlineStr">
        <is>
          <t>Menage 16109</t>
        </is>
      </c>
      <c r="C254" t="inlineStr">
        <is>
          <t>Particulier</t>
        </is>
      </c>
      <c r="D254" t="inlineStr">
        <is>
          <t>Bobo-Dioulasso</t>
        </is>
      </c>
      <c r="E254" t="inlineStr">
        <is>
          <t>Hauts-Bassins</t>
        </is>
      </c>
      <c r="F254" t="inlineStr">
        <is>
          <t>+226 76 22 29 59 82</t>
        </is>
      </c>
      <c r="H254" t="inlineStr">
        <is>
          <t>2022-03-24</t>
        </is>
      </c>
      <c r="I254" t="inlineStr">
        <is>
          <t>Standard</t>
        </is>
      </c>
      <c r="J254" t="inlineStr">
        <is>
          <t>30 j</t>
        </is>
      </c>
      <c r="K254" t="n">
        <v>1500000</v>
      </c>
    </row>
    <row r="255">
      <c r="A255" t="n">
        <v>16142</v>
      </c>
      <c r="B255" t="inlineStr">
        <is>
          <t>Menage 16142</t>
        </is>
      </c>
      <c r="C255" t="inlineStr">
        <is>
          <t>Particulier</t>
        </is>
      </c>
      <c r="D255" t="inlineStr">
        <is>
          <t>Ouagadougou</t>
        </is>
      </c>
      <c r="E255" t="inlineStr">
        <is>
          <t>Centre</t>
        </is>
      </c>
      <c r="F255" t="inlineStr">
        <is>
          <t>+226 70 72 32 90 57</t>
        </is>
      </c>
      <c r="H255" t="inlineStr">
        <is>
          <t>2016-02-11</t>
        </is>
      </c>
      <c r="I255" t="inlineStr">
        <is>
          <t>Standard</t>
        </is>
      </c>
      <c r="J255" t="inlineStr">
        <is>
          <t>Comptant</t>
        </is>
      </c>
      <c r="K255" t="n">
        <v>0</v>
      </c>
    </row>
    <row r="256">
      <c r="A256" t="n">
        <v>16233</v>
      </c>
      <c r="B256" t="inlineStr">
        <is>
          <t>Societe t</t>
        </is>
      </c>
      <c r="C256" t="inlineStr">
        <is>
          <t>Entreprise</t>
        </is>
      </c>
      <c r="D256" t="inlineStr">
        <is>
          <t>Ouagadougou</t>
        </is>
      </c>
      <c r="E256" t="inlineStr">
        <is>
          <t>Centre</t>
        </is>
      </c>
      <c r="F256" t="inlineStr">
        <is>
          <t>+226 73 95 30 81 86</t>
        </is>
      </c>
      <c r="G256" t="inlineStr">
        <is>
          <t>contact16233@outlook.fr</t>
        </is>
      </c>
      <c r="H256" t="inlineStr">
        <is>
          <t>2018-09-26</t>
        </is>
      </c>
      <c r="I256" t="inlineStr">
        <is>
          <t>Standard</t>
        </is>
      </c>
      <c r="J256" t="inlineStr">
        <is>
          <t>30 j</t>
        </is>
      </c>
      <c r="K256" t="n">
        <v>500000</v>
      </c>
    </row>
    <row r="257">
      <c r="A257" t="n">
        <v>16254</v>
      </c>
      <c r="B257" t="inlineStr">
        <is>
          <t>Societe a</t>
        </is>
      </c>
      <c r="C257" t="inlineStr">
        <is>
          <t>Professionnel</t>
        </is>
      </c>
      <c r="D257" t="inlineStr">
        <is>
          <t>Kaya</t>
        </is>
      </c>
      <c r="E257" t="inlineStr">
        <is>
          <t>Centre-Nord</t>
        </is>
      </c>
      <c r="F257" t="inlineStr">
        <is>
          <t>+226 77 53 33 33 34</t>
        </is>
      </c>
      <c r="H257" t="inlineStr">
        <is>
          <t>2016-08-17</t>
        </is>
      </c>
      <c r="I257" t="inlineStr">
        <is>
          <t>Standard</t>
        </is>
      </c>
      <c r="J257" t="inlineStr">
        <is>
          <t>30 j</t>
        </is>
      </c>
      <c r="K257" t="n">
        <v>500000</v>
      </c>
    </row>
    <row r="258">
      <c r="A258" t="n">
        <v>16303</v>
      </c>
      <c r="B258" t="inlineStr">
        <is>
          <t>Chantiers o</t>
        </is>
      </c>
      <c r="C258" t="inlineStr">
        <is>
          <t>Entreprise</t>
        </is>
      </c>
      <c r="D258" t="inlineStr">
        <is>
          <t>Kaya</t>
        </is>
      </c>
      <c r="E258" t="inlineStr">
        <is>
          <t>Centre-Nord</t>
        </is>
      </c>
      <c r="F258" t="inlineStr">
        <is>
          <t>+226 70 25 44 49 42</t>
        </is>
      </c>
      <c r="H258" t="inlineStr">
        <is>
          <t>2017-12-30</t>
        </is>
      </c>
      <c r="I258" t="inlineStr">
        <is>
          <t>Standard</t>
        </is>
      </c>
      <c r="J258" t="inlineStr">
        <is>
          <t>Comptant</t>
        </is>
      </c>
      <c r="K258" t="n">
        <v>250000</v>
      </c>
    </row>
    <row r="259">
      <c r="A259" t="n">
        <v>16310</v>
      </c>
      <c r="B259" t="inlineStr">
        <is>
          <t>Menage 16310</t>
        </is>
      </c>
      <c r="C259" t="inlineStr">
        <is>
          <t>Particulier</t>
        </is>
      </c>
      <c r="D259" t="inlineStr">
        <is>
          <t>Ziniaré</t>
        </is>
      </c>
      <c r="E259" t="inlineStr">
        <is>
          <t>Plateau-Central</t>
        </is>
      </c>
      <c r="F259" t="inlineStr">
        <is>
          <t>+226 78 46 47 23 27</t>
        </is>
      </c>
      <c r="H259" t="inlineStr">
        <is>
          <t>2024-04-16</t>
        </is>
      </c>
      <c r="I259" t="inlineStr">
        <is>
          <t>Standard</t>
        </is>
      </c>
      <c r="J259" t="inlineStr">
        <is>
          <t>30 j</t>
        </is>
      </c>
      <c r="K259" t="n">
        <v>500000</v>
      </c>
    </row>
    <row r="260">
      <c r="A260" t="n">
        <v>16351</v>
      </c>
      <c r="B260" t="inlineStr">
        <is>
          <t>Menage 16351</t>
        </is>
      </c>
      <c r="C260" t="inlineStr">
        <is>
          <t>Particulier</t>
        </is>
      </c>
      <c r="D260" t="inlineStr">
        <is>
          <t>Ouagadougou</t>
        </is>
      </c>
      <c r="E260" t="inlineStr">
        <is>
          <t>Centre</t>
        </is>
      </c>
      <c r="F260" t="inlineStr">
        <is>
          <t>+226 78 27 47 71 35</t>
        </is>
      </c>
      <c r="H260" t="inlineStr">
        <is>
          <t>2021-05-02</t>
        </is>
      </c>
      <c r="I260" t="inlineStr">
        <is>
          <t>Standard</t>
        </is>
      </c>
      <c r="J260" t="inlineStr">
        <is>
          <t>Comptant</t>
        </is>
      </c>
      <c r="K260" t="n">
        <v>500000</v>
      </c>
    </row>
    <row r="261">
      <c r="A261" t="n">
        <v>16478</v>
      </c>
      <c r="B261" t="inlineStr">
        <is>
          <t>Societe o</t>
        </is>
      </c>
      <c r="C261" t="inlineStr">
        <is>
          <t>Professionnel</t>
        </is>
      </c>
      <c r="D261" t="inlineStr">
        <is>
          <t>Ouagadougou</t>
        </is>
      </c>
      <c r="E261" t="inlineStr">
        <is>
          <t>Centre</t>
        </is>
      </c>
      <c r="F261" t="inlineStr">
        <is>
          <t>+226 76 23 62 51 65</t>
        </is>
      </c>
      <c r="G261" t="inlineStr">
        <is>
          <t>contact16478@outlook.fr</t>
        </is>
      </c>
      <c r="H261" t="inlineStr">
        <is>
          <t>2020-05-13</t>
        </is>
      </c>
      <c r="I261" t="inlineStr">
        <is>
          <t>Standard</t>
        </is>
      </c>
      <c r="J261" t="inlineStr">
        <is>
          <t>Comptant</t>
        </is>
      </c>
      <c r="K261" t="n">
        <v>0</v>
      </c>
    </row>
    <row r="262">
      <c r="A262" t="n">
        <v>16610</v>
      </c>
      <c r="B262" t="inlineStr">
        <is>
          <t>Societe l</t>
        </is>
      </c>
      <c r="C262" t="inlineStr">
        <is>
          <t>Professionnel</t>
        </is>
      </c>
      <c r="D262" t="inlineStr">
        <is>
          <t>Bobo-Dioulasso</t>
        </is>
      </c>
      <c r="E262" t="inlineStr">
        <is>
          <t>Hauts-Bassins</t>
        </is>
      </c>
      <c r="F262" t="inlineStr">
        <is>
          <t>+226 72 90 30 41 51</t>
        </is>
      </c>
      <c r="H262" t="inlineStr">
        <is>
          <t>2024-12-21</t>
        </is>
      </c>
      <c r="I262" t="inlineStr">
        <is>
          <t>Standard</t>
        </is>
      </c>
      <c r="J262" t="inlineStr">
        <is>
          <t>Comptant</t>
        </is>
      </c>
      <c r="K262" t="n">
        <v>0</v>
      </c>
    </row>
    <row r="263">
      <c r="A263" t="n">
        <v>16625</v>
      </c>
      <c r="B263" t="inlineStr">
        <is>
          <t>Menage 16625</t>
        </is>
      </c>
      <c r="C263" t="inlineStr">
        <is>
          <t>Particulier</t>
        </is>
      </c>
      <c r="D263" t="inlineStr">
        <is>
          <t>Kaya</t>
        </is>
      </c>
      <c r="E263" t="inlineStr">
        <is>
          <t>Centre-Nord</t>
        </is>
      </c>
      <c r="F263" t="inlineStr">
        <is>
          <t>+226 73 83 32 26 78</t>
        </is>
      </c>
      <c r="H263" t="inlineStr">
        <is>
          <t>2018-01-27</t>
        </is>
      </c>
      <c r="I263" t="inlineStr">
        <is>
          <t>Standard</t>
        </is>
      </c>
      <c r="J263" t="inlineStr">
        <is>
          <t>Comptant</t>
        </is>
      </c>
      <c r="K263" t="n">
        <v>250000</v>
      </c>
    </row>
    <row r="264">
      <c r="A264" t="n">
        <v>16696</v>
      </c>
      <c r="B264" t="inlineStr">
        <is>
          <t>Chantiers o</t>
        </is>
      </c>
      <c r="C264" t="inlineStr">
        <is>
          <t>Entreprise</t>
        </is>
      </c>
      <c r="D264" t="inlineStr">
        <is>
          <t>Bobo-Dioulasso</t>
        </is>
      </c>
      <c r="E264" t="inlineStr">
        <is>
          <t>Hauts-Bassins</t>
        </is>
      </c>
      <c r="F264" t="inlineStr">
        <is>
          <t>+226 73 39 22 78 59</t>
        </is>
      </c>
      <c r="G264" t="inlineStr">
        <is>
          <t>contact16696@gmail.com</t>
        </is>
      </c>
      <c r="H264" t="inlineStr">
        <is>
          <t>2017-11-12</t>
        </is>
      </c>
      <c r="I264" t="inlineStr">
        <is>
          <t>Or</t>
        </is>
      </c>
      <c r="J264" t="inlineStr">
        <is>
          <t>Comptant</t>
        </is>
      </c>
      <c r="K264" t="n">
        <v>0</v>
      </c>
    </row>
    <row r="265">
      <c r="A265" t="n">
        <v>16822</v>
      </c>
      <c r="B265" t="inlineStr">
        <is>
          <t>Chantiers o</t>
        </is>
      </c>
      <c r="C265" t="inlineStr">
        <is>
          <t>Professionnel</t>
        </is>
      </c>
      <c r="D265" t="inlineStr">
        <is>
          <t>Ziniaré</t>
        </is>
      </c>
      <c r="E265" t="inlineStr">
        <is>
          <t>Plateau-Central</t>
        </is>
      </c>
      <c r="F265" t="inlineStr">
        <is>
          <t>+226 74 93 97 53 70</t>
        </is>
      </c>
      <c r="G265" t="inlineStr">
        <is>
          <t>contact16822@gmail.com</t>
        </is>
      </c>
      <c r="H265" t="inlineStr">
        <is>
          <t>2026-03-13</t>
        </is>
      </c>
      <c r="I265" t="inlineStr">
        <is>
          <t>Argent</t>
        </is>
      </c>
      <c r="J265" t="inlineStr">
        <is>
          <t>Comptant</t>
        </is>
      </c>
      <c r="K265" t="n">
        <v>1500000</v>
      </c>
    </row>
    <row r="266">
      <c r="A266" t="n">
        <v>16857</v>
      </c>
      <c r="B266" t="inlineStr">
        <is>
          <t>Menage 16857</t>
        </is>
      </c>
      <c r="C266" t="inlineStr">
        <is>
          <t>Particulier</t>
        </is>
      </c>
      <c r="D266" t="inlineStr">
        <is>
          <t>Koudougou</t>
        </is>
      </c>
      <c r="E266" t="inlineStr">
        <is>
          <t>Centre-Ouest</t>
        </is>
      </c>
      <c r="F266" t="inlineStr">
        <is>
          <t>+226 78 14 18 51 94</t>
        </is>
      </c>
      <c r="H266" t="inlineStr">
        <is>
          <t>2020-06-19</t>
        </is>
      </c>
      <c r="I266" t="inlineStr">
        <is>
          <t>Standard</t>
        </is>
      </c>
      <c r="J266" t="inlineStr">
        <is>
          <t>Comptant</t>
        </is>
      </c>
      <c r="K266" t="n">
        <v>0</v>
      </c>
    </row>
    <row r="267">
      <c r="A267" t="n">
        <v>16868</v>
      </c>
      <c r="B267" t="inlineStr">
        <is>
          <t>SARL i</t>
        </is>
      </c>
      <c r="C267" t="inlineStr">
        <is>
          <t>Professionnel</t>
        </is>
      </c>
      <c r="D267" t="inlineStr">
        <is>
          <t>Koudougou</t>
        </is>
      </c>
      <c r="E267" t="inlineStr">
        <is>
          <t>Centre-Ouest</t>
        </is>
      </c>
      <c r="F267" t="inlineStr">
        <is>
          <t>+226 76 47 19 33 98</t>
        </is>
      </c>
      <c r="G267" t="inlineStr">
        <is>
          <t>contact16868@outlook.fr</t>
        </is>
      </c>
      <c r="H267" t="inlineStr">
        <is>
          <t>2018-04-08</t>
        </is>
      </c>
      <c r="I267" t="inlineStr">
        <is>
          <t>Or</t>
        </is>
      </c>
      <c r="J267" t="inlineStr">
        <is>
          <t>Comptant</t>
        </is>
      </c>
      <c r="K267" t="n">
        <v>0</v>
      </c>
    </row>
    <row r="268">
      <c r="A268" t="n">
        <v>16921</v>
      </c>
      <c r="B268" t="inlineStr">
        <is>
          <t>Menage 16921</t>
        </is>
      </c>
      <c r="C268" t="inlineStr">
        <is>
          <t>Particulier</t>
        </is>
      </c>
      <c r="D268" t="inlineStr">
        <is>
          <t>Bobo-Dioulasso</t>
        </is>
      </c>
      <c r="E268" t="inlineStr">
        <is>
          <t>Hauts-Bassins</t>
        </is>
      </c>
      <c r="F268" t="inlineStr">
        <is>
          <t>+226 78 88 95 63 45</t>
        </is>
      </c>
      <c r="H268" t="inlineStr">
        <is>
          <t>2016-03-18</t>
        </is>
      </c>
      <c r="I268" t="inlineStr">
        <is>
          <t>Or</t>
        </is>
      </c>
      <c r="J268" t="inlineStr">
        <is>
          <t>Comptant</t>
        </is>
      </c>
      <c r="K268" t="n">
        <v>500000</v>
      </c>
    </row>
    <row r="269">
      <c r="A269" t="n">
        <v>16979</v>
      </c>
      <c r="B269" t="inlineStr">
        <is>
          <t>Menage 16979</t>
        </is>
      </c>
      <c r="C269" t="inlineStr">
        <is>
          <t>Particulier</t>
        </is>
      </c>
      <c r="D269" t="inlineStr">
        <is>
          <t>Koudougou</t>
        </is>
      </c>
      <c r="E269" t="inlineStr">
        <is>
          <t>Centre-Ouest</t>
        </is>
      </c>
      <c r="F269" t="inlineStr">
        <is>
          <t>+226 70 41 91 34 97</t>
        </is>
      </c>
      <c r="H269" t="inlineStr">
        <is>
          <t>2018-11-30</t>
        </is>
      </c>
      <c r="I269" t="inlineStr">
        <is>
          <t>Argent</t>
        </is>
      </c>
      <c r="J269" t="inlineStr">
        <is>
          <t>Comptant</t>
        </is>
      </c>
      <c r="K269" t="n">
        <v>250000</v>
      </c>
    </row>
    <row r="270">
      <c r="A270" t="n">
        <v>17014</v>
      </c>
      <c r="B270" t="inlineStr">
        <is>
          <t>Menage 17014</t>
        </is>
      </c>
      <c r="C270" t="inlineStr">
        <is>
          <t>Particulier</t>
        </is>
      </c>
      <c r="D270" t="inlineStr">
        <is>
          <t>Ouagadougou</t>
        </is>
      </c>
      <c r="E270" t="inlineStr">
        <is>
          <t>Centre</t>
        </is>
      </c>
      <c r="F270" t="inlineStr">
        <is>
          <t>+226 76 77 83 58 44</t>
        </is>
      </c>
      <c r="H270" t="inlineStr">
        <is>
          <t>2018-06-20</t>
        </is>
      </c>
      <c r="I270" t="inlineStr">
        <is>
          <t>Or</t>
        </is>
      </c>
      <c r="J270" t="inlineStr">
        <is>
          <t>30 j</t>
        </is>
      </c>
      <c r="K270" t="n">
        <v>0</v>
      </c>
    </row>
    <row r="271">
      <c r="A271" t="n">
        <v>17024</v>
      </c>
      <c r="B271" t="inlineStr">
        <is>
          <t>Menage 17024</t>
        </is>
      </c>
      <c r="C271" t="inlineStr">
        <is>
          <t>Particulier</t>
        </is>
      </c>
      <c r="D271" t="inlineStr">
        <is>
          <t>Bobo-Dioulasso</t>
        </is>
      </c>
      <c r="E271" t="inlineStr">
        <is>
          <t>Hauts-Bassins</t>
        </is>
      </c>
      <c r="F271" t="inlineStr">
        <is>
          <t>+226 76 16 79 34 33</t>
        </is>
      </c>
      <c r="H271" t="inlineStr">
        <is>
          <t>2023-12-15</t>
        </is>
      </c>
      <c r="I271" t="inlineStr">
        <is>
          <t>Standard</t>
        </is>
      </c>
      <c r="J271" t="inlineStr">
        <is>
          <t>30 j</t>
        </is>
      </c>
      <c r="K271" t="n">
        <v>500000</v>
      </c>
    </row>
    <row r="272">
      <c r="A272" t="n">
        <v>17115</v>
      </c>
      <c r="B272" t="inlineStr">
        <is>
          <t>Chantiers o</t>
        </is>
      </c>
      <c r="C272" t="inlineStr">
        <is>
          <t>Professionnel</t>
        </is>
      </c>
      <c r="D272" t="inlineStr">
        <is>
          <t>Ouagadougou</t>
        </is>
      </c>
      <c r="E272" t="inlineStr">
        <is>
          <t>Centre</t>
        </is>
      </c>
      <c r="F272" t="inlineStr">
        <is>
          <t>+226 70 60 73 24 25</t>
        </is>
      </c>
      <c r="G272" t="inlineStr">
        <is>
          <t>contact17115@outlook.fr</t>
        </is>
      </c>
      <c r="H272" t="inlineStr">
        <is>
          <t>2021-05-09</t>
        </is>
      </c>
      <c r="I272" t="inlineStr">
        <is>
          <t>Argent</t>
        </is>
      </c>
      <c r="J272" t="inlineStr">
        <is>
          <t>Comptant</t>
        </is>
      </c>
      <c r="K272" t="n">
        <v>0</v>
      </c>
    </row>
    <row r="273">
      <c r="A273" t="n">
        <v>17124</v>
      </c>
      <c r="B273" t="inlineStr">
        <is>
          <t>Ets S</t>
        </is>
      </c>
      <c r="C273" t="inlineStr">
        <is>
          <t>Administration</t>
        </is>
      </c>
      <c r="D273" t="inlineStr">
        <is>
          <t>Bobo-Dioulasso</t>
        </is>
      </c>
      <c r="E273" t="inlineStr">
        <is>
          <t>Hauts-Bassins</t>
        </is>
      </c>
      <c r="F273" t="inlineStr">
        <is>
          <t>+226 71 97 42 60 66</t>
        </is>
      </c>
      <c r="H273" t="inlineStr">
        <is>
          <t>2017-07-13</t>
        </is>
      </c>
      <c r="I273" t="inlineStr">
        <is>
          <t>Or</t>
        </is>
      </c>
      <c r="J273" t="inlineStr">
        <is>
          <t>Comptant</t>
        </is>
      </c>
      <c r="K273" t="n">
        <v>500000</v>
      </c>
    </row>
    <row r="274">
      <c r="A274" t="n">
        <v>17169</v>
      </c>
      <c r="B274" t="inlineStr">
        <is>
          <t>SARL g</t>
        </is>
      </c>
      <c r="C274" t="inlineStr">
        <is>
          <t>Professionnel</t>
        </is>
      </c>
      <c r="D274" t="inlineStr">
        <is>
          <t>Ouagadougou</t>
        </is>
      </c>
      <c r="E274" t="inlineStr">
        <is>
          <t>Centre</t>
        </is>
      </c>
      <c r="F274" t="inlineStr">
        <is>
          <t>+226 71 41 66 62 90</t>
        </is>
      </c>
      <c r="H274" t="inlineStr">
        <is>
          <t>2018-04-12</t>
        </is>
      </c>
      <c r="I274" t="inlineStr">
        <is>
          <t>Or</t>
        </is>
      </c>
      <c r="J274" t="inlineStr">
        <is>
          <t>60 j</t>
        </is>
      </c>
      <c r="K274" t="n">
        <v>0</v>
      </c>
    </row>
    <row r="275">
      <c r="A275" t="n">
        <v>17377</v>
      </c>
      <c r="B275" t="inlineStr">
        <is>
          <t>Menage 17377</t>
        </is>
      </c>
      <c r="C275" t="inlineStr">
        <is>
          <t>Particulier</t>
        </is>
      </c>
      <c r="D275" t="inlineStr">
        <is>
          <t>Ziniaré</t>
        </is>
      </c>
      <c r="E275" t="inlineStr">
        <is>
          <t>Plateau-Central</t>
        </is>
      </c>
      <c r="F275" t="inlineStr">
        <is>
          <t>+226 75 94 56 89 37</t>
        </is>
      </c>
      <c r="H275" t="inlineStr">
        <is>
          <t>2026-02-17</t>
        </is>
      </c>
      <c r="I275" t="inlineStr">
        <is>
          <t>Standard</t>
        </is>
      </c>
      <c r="J275" t="inlineStr">
        <is>
          <t>30 j</t>
        </is>
      </c>
      <c r="K275" t="n">
        <v>0</v>
      </c>
    </row>
    <row r="276">
      <c r="A276" t="n">
        <v>17387</v>
      </c>
      <c r="B276" t="inlineStr">
        <is>
          <t>Menage 17387</t>
        </is>
      </c>
      <c r="C276" t="inlineStr">
        <is>
          <t>Particulier</t>
        </is>
      </c>
      <c r="D276" t="inlineStr">
        <is>
          <t>Ouagadougou</t>
        </is>
      </c>
      <c r="E276" t="inlineStr">
        <is>
          <t>Centre</t>
        </is>
      </c>
      <c r="F276" t="inlineStr">
        <is>
          <t>+226 79 88 67 30 13</t>
        </is>
      </c>
      <c r="H276" t="inlineStr">
        <is>
          <t>2022-09-28</t>
        </is>
      </c>
      <c r="I276" t="inlineStr">
        <is>
          <t>Standard</t>
        </is>
      </c>
      <c r="J276" t="inlineStr">
        <is>
          <t>Comptant</t>
        </is>
      </c>
      <c r="K276" t="n">
        <v>250000</v>
      </c>
    </row>
    <row r="277">
      <c r="A277" t="n">
        <v>17473</v>
      </c>
      <c r="B277" t="inlineStr">
        <is>
          <t>SARL o</t>
        </is>
      </c>
      <c r="C277" t="inlineStr">
        <is>
          <t>Professionnel</t>
        </is>
      </c>
      <c r="D277" t="inlineStr">
        <is>
          <t>Ziniaré</t>
        </is>
      </c>
      <c r="E277" t="inlineStr">
        <is>
          <t>Plateau-Central</t>
        </is>
      </c>
      <c r="F277" t="inlineStr">
        <is>
          <t>+226 78 14 78 76 82</t>
        </is>
      </c>
      <c r="G277" t="inlineStr">
        <is>
          <t>contact17473@entreprise.bf</t>
        </is>
      </c>
      <c r="H277" t="inlineStr">
        <is>
          <t>2019-03-27</t>
        </is>
      </c>
      <c r="I277" t="inlineStr">
        <is>
          <t>Standard</t>
        </is>
      </c>
      <c r="J277" t="inlineStr">
        <is>
          <t>Comptant</t>
        </is>
      </c>
      <c r="K277" t="n">
        <v>250000</v>
      </c>
    </row>
    <row r="278">
      <c r="A278" t="n">
        <v>17552</v>
      </c>
      <c r="B278" t="inlineStr">
        <is>
          <t>Menage 17552</t>
        </is>
      </c>
      <c r="C278" t="inlineStr">
        <is>
          <t>Particulier</t>
        </is>
      </c>
      <c r="D278" t="inlineStr">
        <is>
          <t>Ziniaré</t>
        </is>
      </c>
      <c r="E278" t="inlineStr">
        <is>
          <t>Plateau-Central</t>
        </is>
      </c>
      <c r="F278" t="inlineStr">
        <is>
          <t>+226 71 98 74 91 88</t>
        </is>
      </c>
      <c r="H278" t="inlineStr">
        <is>
          <t>2023-01-22</t>
        </is>
      </c>
      <c r="I278" t="inlineStr">
        <is>
          <t>Argent</t>
        </is>
      </c>
      <c r="J278" t="inlineStr">
        <is>
          <t>Comptant</t>
        </is>
      </c>
      <c r="K278" t="n">
        <v>250000</v>
      </c>
    </row>
    <row r="279">
      <c r="A279" t="n">
        <v>17623</v>
      </c>
      <c r="B279" t="inlineStr">
        <is>
          <t>Chantiers a</t>
        </is>
      </c>
      <c r="C279" t="inlineStr">
        <is>
          <t>Entreprise</t>
        </is>
      </c>
      <c r="D279" t="inlineStr">
        <is>
          <t>Ouagadougou</t>
        </is>
      </c>
      <c r="E279" t="inlineStr">
        <is>
          <t>Centre</t>
        </is>
      </c>
      <c r="F279" t="inlineStr">
        <is>
          <t>+226 72 97 51 52 57</t>
        </is>
      </c>
      <c r="H279" t="inlineStr">
        <is>
          <t>2016-09-22</t>
        </is>
      </c>
      <c r="I279" t="inlineStr">
        <is>
          <t>Standard</t>
        </is>
      </c>
      <c r="J279" t="inlineStr">
        <is>
          <t>Comptant</t>
        </is>
      </c>
      <c r="K279" t="n">
        <v>1500000</v>
      </c>
    </row>
    <row r="280">
      <c r="A280" t="n">
        <v>17715</v>
      </c>
      <c r="B280" t="inlineStr">
        <is>
          <t>Chantiers r</t>
        </is>
      </c>
      <c r="C280" t="inlineStr">
        <is>
          <t>Professionnel</t>
        </is>
      </c>
      <c r="D280" t="inlineStr">
        <is>
          <t>Bobo-Dioulasso</t>
        </is>
      </c>
      <c r="E280" t="inlineStr">
        <is>
          <t>Hauts-Bassins</t>
        </is>
      </c>
      <c r="F280" t="inlineStr">
        <is>
          <t>+226 75 76 10 11 78</t>
        </is>
      </c>
      <c r="H280" t="inlineStr">
        <is>
          <t>2016-03-11</t>
        </is>
      </c>
      <c r="I280" t="inlineStr">
        <is>
          <t>Or</t>
        </is>
      </c>
      <c r="J280" t="inlineStr">
        <is>
          <t>Comptant</t>
        </is>
      </c>
      <c r="K280" t="n">
        <v>250000</v>
      </c>
    </row>
    <row r="281">
      <c r="A281" t="n">
        <v>17857</v>
      </c>
      <c r="B281" t="inlineStr">
        <is>
          <t>Menage 17857</t>
        </is>
      </c>
      <c r="C281" t="inlineStr">
        <is>
          <t>Particulier</t>
        </is>
      </c>
      <c r="D281" t="inlineStr">
        <is>
          <t>Bobo-Dioulasso</t>
        </is>
      </c>
      <c r="E281" t="inlineStr">
        <is>
          <t>Hauts-Bassins</t>
        </is>
      </c>
      <c r="F281" t="inlineStr">
        <is>
          <t>+226 75 79 60 47 49</t>
        </is>
      </c>
      <c r="H281" t="inlineStr">
        <is>
          <t>2016-07-29</t>
        </is>
      </c>
      <c r="I281" t="inlineStr">
        <is>
          <t>Argent</t>
        </is>
      </c>
      <c r="J281" t="inlineStr">
        <is>
          <t>30 j</t>
        </is>
      </c>
      <c r="K281" t="n">
        <v>0</v>
      </c>
    </row>
    <row r="282">
      <c r="A282" t="n">
        <v>17861</v>
      </c>
      <c r="B282" t="inlineStr">
        <is>
          <t>Ets r</t>
        </is>
      </c>
      <c r="C282" t="inlineStr">
        <is>
          <t>Professionnel</t>
        </is>
      </c>
      <c r="D282" t="inlineStr">
        <is>
          <t>Ouagadougou</t>
        </is>
      </c>
      <c r="E282" t="inlineStr">
        <is>
          <t>Centre</t>
        </is>
      </c>
      <c r="F282" t="inlineStr">
        <is>
          <t>+226 70 23 82 11 20</t>
        </is>
      </c>
      <c r="G282" t="inlineStr">
        <is>
          <t>contact17861@entreprise.bf</t>
        </is>
      </c>
      <c r="H282" t="inlineStr">
        <is>
          <t>2021-05-06</t>
        </is>
      </c>
      <c r="I282" t="inlineStr">
        <is>
          <t>Standard</t>
        </is>
      </c>
      <c r="J282" t="inlineStr">
        <is>
          <t>Comptant</t>
        </is>
      </c>
      <c r="K282" t="n">
        <v>0</v>
      </c>
    </row>
    <row r="283">
      <c r="A283" t="n">
        <v>17916</v>
      </c>
      <c r="B283" t="inlineStr">
        <is>
          <t>Ets n</t>
        </is>
      </c>
      <c r="C283" t="inlineStr">
        <is>
          <t>Professionnel</t>
        </is>
      </c>
      <c r="D283" t="inlineStr">
        <is>
          <t>Koudougou</t>
        </is>
      </c>
      <c r="E283" t="inlineStr">
        <is>
          <t>Centre-Ouest</t>
        </is>
      </c>
      <c r="F283" t="inlineStr">
        <is>
          <t>+226 71 40 30 70 84</t>
        </is>
      </c>
      <c r="G283" t="inlineStr">
        <is>
          <t>contact17916@outlook.fr</t>
        </is>
      </c>
      <c r="H283" t="inlineStr">
        <is>
          <t>2019-11-26</t>
        </is>
      </c>
      <c r="I283" t="inlineStr">
        <is>
          <t>Standard</t>
        </is>
      </c>
      <c r="J283" t="inlineStr">
        <is>
          <t>30 j</t>
        </is>
      </c>
      <c r="K283" t="n">
        <v>500000</v>
      </c>
    </row>
    <row r="284">
      <c r="A284" t="n">
        <v>17994</v>
      </c>
      <c r="B284" t="inlineStr">
        <is>
          <t>Chantiers p</t>
        </is>
      </c>
      <c r="C284" t="inlineStr">
        <is>
          <t>Professionnel</t>
        </is>
      </c>
      <c r="D284" t="inlineStr">
        <is>
          <t>Ziniaré</t>
        </is>
      </c>
      <c r="E284" t="inlineStr">
        <is>
          <t>Plateau-Central</t>
        </is>
      </c>
      <c r="F284" t="inlineStr">
        <is>
          <t>+226 70 64 50 11 25</t>
        </is>
      </c>
      <c r="H284" t="inlineStr">
        <is>
          <t>2024-02-03</t>
        </is>
      </c>
      <c r="I284" t="inlineStr">
        <is>
          <t>Argent</t>
        </is>
      </c>
      <c r="J284" t="inlineStr">
        <is>
          <t>30 j</t>
        </is>
      </c>
      <c r="K284" t="n">
        <v>250000</v>
      </c>
    </row>
    <row r="285">
      <c r="A285" t="n">
        <v>18174</v>
      </c>
      <c r="B285" t="inlineStr">
        <is>
          <t>Menage 18174</t>
        </is>
      </c>
      <c r="C285" t="inlineStr">
        <is>
          <t>Particulier</t>
        </is>
      </c>
      <c r="D285" t="inlineStr">
        <is>
          <t>Ziniaré</t>
        </is>
      </c>
      <c r="E285" t="inlineStr">
        <is>
          <t>Plateau-Central</t>
        </is>
      </c>
      <c r="F285" t="inlineStr">
        <is>
          <t>+226 77 42 96 21 67</t>
        </is>
      </c>
      <c r="H285" t="inlineStr">
        <is>
          <t>2022-10-24</t>
        </is>
      </c>
      <c r="I285" t="inlineStr">
        <is>
          <t>Argent</t>
        </is>
      </c>
      <c r="J285" t="inlineStr">
        <is>
          <t>30 j</t>
        </is>
      </c>
      <c r="K285" t="n">
        <v>500000</v>
      </c>
    </row>
    <row r="286">
      <c r="A286" t="n">
        <v>18220</v>
      </c>
      <c r="B286" t="inlineStr">
        <is>
          <t>Ets a</t>
        </is>
      </c>
      <c r="C286" t="inlineStr">
        <is>
          <t>Entreprise</t>
        </is>
      </c>
      <c r="D286" t="inlineStr">
        <is>
          <t>Ouagadougou</t>
        </is>
      </c>
      <c r="E286" t="inlineStr">
        <is>
          <t>Centre</t>
        </is>
      </c>
      <c r="F286" t="inlineStr">
        <is>
          <t>+226 75 27 27 84 35</t>
        </is>
      </c>
      <c r="G286" t="inlineStr">
        <is>
          <t>contact18220@yahoo.fr</t>
        </is>
      </c>
      <c r="H286" t="inlineStr">
        <is>
          <t>2022-05-24</t>
        </is>
      </c>
      <c r="I286" t="inlineStr">
        <is>
          <t>Standard</t>
        </is>
      </c>
      <c r="J286" t="inlineStr">
        <is>
          <t>Comptant</t>
        </is>
      </c>
      <c r="K286" t="n">
        <v>250000</v>
      </c>
    </row>
    <row r="287">
      <c r="A287" t="n">
        <v>18255</v>
      </c>
      <c r="B287" t="inlineStr">
        <is>
          <t>Menage 18255</t>
        </is>
      </c>
      <c r="C287" t="inlineStr">
        <is>
          <t>Particulier</t>
        </is>
      </c>
      <c r="D287" t="inlineStr">
        <is>
          <t>Ouagadougou</t>
        </is>
      </c>
      <c r="E287" t="inlineStr">
        <is>
          <t>Centre</t>
        </is>
      </c>
      <c r="F287" t="inlineStr">
        <is>
          <t>+226 78 78 10 17 54</t>
        </is>
      </c>
      <c r="H287" t="inlineStr">
        <is>
          <t>2023-11-09</t>
        </is>
      </c>
      <c r="I287" t="inlineStr">
        <is>
          <t>Standard</t>
        </is>
      </c>
      <c r="J287" t="inlineStr">
        <is>
          <t>Comptant</t>
        </is>
      </c>
      <c r="K287" t="n">
        <v>500000</v>
      </c>
    </row>
    <row r="288">
      <c r="A288" t="n">
        <v>18276</v>
      </c>
      <c r="B288" t="inlineStr">
        <is>
          <t>Menage 18276</t>
        </is>
      </c>
      <c r="C288" t="inlineStr">
        <is>
          <t>Particulier</t>
        </is>
      </c>
      <c r="D288" t="inlineStr">
        <is>
          <t>Koudougou</t>
        </is>
      </c>
      <c r="E288" t="inlineStr">
        <is>
          <t>Centre-Ouest</t>
        </is>
      </c>
      <c r="F288" t="inlineStr">
        <is>
          <t>+226 70 45 72 45 73</t>
        </is>
      </c>
      <c r="H288" t="inlineStr">
        <is>
          <t>2025-04-06</t>
        </is>
      </c>
      <c r="I288" t="inlineStr">
        <is>
          <t>Standard</t>
        </is>
      </c>
      <c r="J288" t="inlineStr">
        <is>
          <t>Comptant</t>
        </is>
      </c>
      <c r="K288" t="n">
        <v>0</v>
      </c>
    </row>
    <row r="289">
      <c r="A289" t="n">
        <v>18478</v>
      </c>
      <c r="B289" t="inlineStr">
        <is>
          <t>Menage 18478</t>
        </is>
      </c>
      <c r="C289" t="inlineStr">
        <is>
          <t>Particulier</t>
        </is>
      </c>
      <c r="D289" t="inlineStr">
        <is>
          <t>Ouagadougou</t>
        </is>
      </c>
      <c r="E289" t="inlineStr">
        <is>
          <t>Centre</t>
        </is>
      </c>
      <c r="F289" t="inlineStr">
        <is>
          <t>+226 78 62 37 16 76</t>
        </is>
      </c>
      <c r="H289" t="inlineStr">
        <is>
          <t>2026-05-23</t>
        </is>
      </c>
      <c r="I289" t="inlineStr">
        <is>
          <t>Argent</t>
        </is>
      </c>
      <c r="J289" t="inlineStr">
        <is>
          <t>Comptant</t>
        </is>
      </c>
      <c r="K289" t="n">
        <v>500000</v>
      </c>
    </row>
    <row r="290">
      <c r="A290" t="n">
        <v>18568</v>
      </c>
      <c r="B290" t="inlineStr">
        <is>
          <t>Societe a</t>
        </is>
      </c>
      <c r="C290" t="inlineStr">
        <is>
          <t>Professionnel</t>
        </is>
      </c>
      <c r="D290" t="inlineStr">
        <is>
          <t>Ouagadougou</t>
        </is>
      </c>
      <c r="E290" t="inlineStr">
        <is>
          <t>Centre</t>
        </is>
      </c>
      <c r="F290" t="inlineStr">
        <is>
          <t>+226 70 33 15 87 12</t>
        </is>
      </c>
      <c r="H290" t="inlineStr">
        <is>
          <t>2016-03-12</t>
        </is>
      </c>
      <c r="I290" t="inlineStr">
        <is>
          <t>Standard</t>
        </is>
      </c>
      <c r="J290" t="inlineStr">
        <is>
          <t>30 j</t>
        </is>
      </c>
      <c r="K290" t="n">
        <v>1500000</v>
      </c>
    </row>
    <row r="291">
      <c r="A291" t="n">
        <v>18585</v>
      </c>
      <c r="B291" t="inlineStr">
        <is>
          <t>Menage 18585</t>
        </is>
      </c>
      <c r="C291" t="inlineStr">
        <is>
          <t>Particulier</t>
        </is>
      </c>
      <c r="D291" t="inlineStr">
        <is>
          <t>Ziniaré</t>
        </is>
      </c>
      <c r="E291" t="inlineStr">
        <is>
          <t>Plateau-Central</t>
        </is>
      </c>
      <c r="F291" t="inlineStr">
        <is>
          <t>+226 73 37 57 42 21</t>
        </is>
      </c>
      <c r="H291" t="inlineStr">
        <is>
          <t>2023-02-28</t>
        </is>
      </c>
      <c r="I291" t="inlineStr">
        <is>
          <t>Standard</t>
        </is>
      </c>
      <c r="J291" t="inlineStr">
        <is>
          <t>30 j</t>
        </is>
      </c>
      <c r="K291" t="n">
        <v>0</v>
      </c>
    </row>
    <row r="292">
      <c r="A292" t="n">
        <v>18638</v>
      </c>
      <c r="B292" t="inlineStr">
        <is>
          <t>Menage 18638</t>
        </is>
      </c>
      <c r="C292" t="inlineStr">
        <is>
          <t>Particulier</t>
        </is>
      </c>
      <c r="D292" t="inlineStr">
        <is>
          <t>Kaya</t>
        </is>
      </c>
      <c r="E292" t="inlineStr">
        <is>
          <t>Centre-Nord</t>
        </is>
      </c>
      <c r="F292" t="inlineStr">
        <is>
          <t>+226 70 47 76 57 88</t>
        </is>
      </c>
      <c r="H292" t="inlineStr">
        <is>
          <t>2016-11-05</t>
        </is>
      </c>
      <c r="I292" t="inlineStr">
        <is>
          <t>Argent</t>
        </is>
      </c>
      <c r="J292" t="inlineStr">
        <is>
          <t>Comptant</t>
        </is>
      </c>
      <c r="K292" t="n">
        <v>0</v>
      </c>
    </row>
    <row r="293">
      <c r="A293" t="n">
        <v>18687</v>
      </c>
      <c r="B293" t="inlineStr">
        <is>
          <t>Menage 18687</t>
        </is>
      </c>
      <c r="C293" t="inlineStr">
        <is>
          <t>Particulier</t>
        </is>
      </c>
      <c r="D293" t="inlineStr">
        <is>
          <t>Koudougou</t>
        </is>
      </c>
      <c r="E293" t="inlineStr">
        <is>
          <t>Centre-Ouest</t>
        </is>
      </c>
      <c r="F293" t="inlineStr">
        <is>
          <t>+226 70 84 62 88 21</t>
        </is>
      </c>
      <c r="H293" t="inlineStr">
        <is>
          <t>2025-11-11</t>
        </is>
      </c>
      <c r="I293" t="inlineStr">
        <is>
          <t>Standard</t>
        </is>
      </c>
      <c r="J293" t="inlineStr">
        <is>
          <t>30 j</t>
        </is>
      </c>
      <c r="K293" t="n">
        <v>0</v>
      </c>
    </row>
    <row r="294">
      <c r="A294" t="n">
        <v>18698</v>
      </c>
      <c r="B294" t="inlineStr">
        <is>
          <t>SARL t</t>
        </is>
      </c>
      <c r="C294" t="inlineStr">
        <is>
          <t>Professionnel</t>
        </is>
      </c>
      <c r="D294" t="inlineStr">
        <is>
          <t>Bobo-Dioulasso</t>
        </is>
      </c>
      <c r="E294" t="inlineStr">
        <is>
          <t>Hauts-Bassins</t>
        </is>
      </c>
      <c r="F294" t="inlineStr">
        <is>
          <t>+226 72 42 11 25 36</t>
        </is>
      </c>
      <c r="G294" t="inlineStr">
        <is>
          <t>contact18698@yahoo.fr</t>
        </is>
      </c>
      <c r="H294" t="inlineStr">
        <is>
          <t>2016-12-29</t>
        </is>
      </c>
      <c r="I294" t="inlineStr">
        <is>
          <t>Standard</t>
        </is>
      </c>
      <c r="J294" t="inlineStr">
        <is>
          <t>Comptant</t>
        </is>
      </c>
      <c r="K294" t="n">
        <v>0</v>
      </c>
    </row>
    <row r="295">
      <c r="A295" t="n">
        <v>18776</v>
      </c>
      <c r="B295" t="inlineStr">
        <is>
          <t>Menage 18776</t>
        </is>
      </c>
      <c r="C295" t="inlineStr">
        <is>
          <t>Particulier</t>
        </is>
      </c>
      <c r="D295" t="inlineStr">
        <is>
          <t>Bobo-Dioulasso</t>
        </is>
      </c>
      <c r="E295" t="inlineStr">
        <is>
          <t>Hauts-Bassins</t>
        </is>
      </c>
      <c r="F295" t="inlineStr">
        <is>
          <t>+226 77 15 67 16 16</t>
        </is>
      </c>
      <c r="H295" t="inlineStr">
        <is>
          <t>2020-09-10</t>
        </is>
      </c>
      <c r="I295" t="inlineStr">
        <is>
          <t>Standard</t>
        </is>
      </c>
      <c r="J295" t="inlineStr">
        <is>
          <t>Comptant</t>
        </is>
      </c>
      <c r="K295" t="n">
        <v>0</v>
      </c>
    </row>
    <row r="296">
      <c r="A296" t="n">
        <v>18844</v>
      </c>
      <c r="B296" t="inlineStr">
        <is>
          <t>SARL o</t>
        </is>
      </c>
      <c r="C296" t="inlineStr">
        <is>
          <t>Professionnel</t>
        </is>
      </c>
      <c r="D296" t="inlineStr">
        <is>
          <t>Bobo-Dioulasso</t>
        </is>
      </c>
      <c r="E296" t="inlineStr">
        <is>
          <t>Hauts-Bassins</t>
        </is>
      </c>
      <c r="F296" t="inlineStr">
        <is>
          <t>+226 70 14 61 32 98</t>
        </is>
      </c>
      <c r="H296" t="inlineStr">
        <is>
          <t>2019-07-24</t>
        </is>
      </c>
      <c r="I296" t="inlineStr">
        <is>
          <t>Or</t>
        </is>
      </c>
      <c r="J296" t="inlineStr">
        <is>
          <t>30 j</t>
        </is>
      </c>
      <c r="K296" t="n">
        <v>1500000</v>
      </c>
    </row>
    <row r="297">
      <c r="A297" t="n">
        <v>18869</v>
      </c>
      <c r="B297" t="inlineStr">
        <is>
          <t>Menage 18869</t>
        </is>
      </c>
      <c r="C297" t="inlineStr">
        <is>
          <t>Particulier</t>
        </is>
      </c>
      <c r="D297" t="inlineStr">
        <is>
          <t>Ouagadougou</t>
        </is>
      </c>
      <c r="E297" t="inlineStr">
        <is>
          <t>Centre</t>
        </is>
      </c>
      <c r="F297" t="inlineStr">
        <is>
          <t>+226 77 11 87 77 28</t>
        </is>
      </c>
      <c r="H297" t="inlineStr">
        <is>
          <t>2018-12-27</t>
        </is>
      </c>
      <c r="I297" t="inlineStr">
        <is>
          <t>Standard</t>
        </is>
      </c>
      <c r="J297" t="inlineStr">
        <is>
          <t>60 j</t>
        </is>
      </c>
      <c r="K297" t="n">
        <v>500000</v>
      </c>
    </row>
    <row r="298">
      <c r="A298" t="n">
        <v>18885</v>
      </c>
      <c r="B298" t="inlineStr">
        <is>
          <t>Chantiers r</t>
        </is>
      </c>
      <c r="C298" t="inlineStr">
        <is>
          <t>Entreprise</t>
        </is>
      </c>
      <c r="D298" t="inlineStr">
        <is>
          <t>Kaya</t>
        </is>
      </c>
      <c r="E298" t="inlineStr">
        <is>
          <t>Centre-Nord</t>
        </is>
      </c>
      <c r="F298" t="inlineStr">
        <is>
          <t>+226 77 45 13 28 40</t>
        </is>
      </c>
      <c r="G298" t="inlineStr">
        <is>
          <t>contact18885@yahoo.fr</t>
        </is>
      </c>
      <c r="H298" t="inlineStr">
        <is>
          <t>2022-09-27</t>
        </is>
      </c>
      <c r="I298" t="inlineStr">
        <is>
          <t>Standard</t>
        </is>
      </c>
      <c r="J298" t="inlineStr">
        <is>
          <t>Comptant</t>
        </is>
      </c>
      <c r="K298" t="n">
        <v>500000</v>
      </c>
    </row>
    <row r="299">
      <c r="A299" t="n">
        <v>19011</v>
      </c>
      <c r="B299" t="inlineStr">
        <is>
          <t>SARL r</t>
        </is>
      </c>
      <c r="C299" t="inlineStr">
        <is>
          <t>Entreprise</t>
        </is>
      </c>
      <c r="D299" t="inlineStr">
        <is>
          <t>Bobo-Dioulasso</t>
        </is>
      </c>
      <c r="E299" t="inlineStr">
        <is>
          <t>Hauts-Bassins</t>
        </is>
      </c>
      <c r="F299" t="inlineStr">
        <is>
          <t>+226 70 76 20 87 24</t>
        </is>
      </c>
      <c r="G299" t="inlineStr">
        <is>
          <t>contact19011@yahoo.fr</t>
        </is>
      </c>
      <c r="H299" t="inlineStr">
        <is>
          <t>2019-07-14</t>
        </is>
      </c>
      <c r="I299" t="inlineStr">
        <is>
          <t>Argent</t>
        </is>
      </c>
      <c r="J299" t="inlineStr">
        <is>
          <t>30 j</t>
        </is>
      </c>
      <c r="K299" t="n">
        <v>1500000</v>
      </c>
    </row>
    <row r="300">
      <c r="A300" t="n">
        <v>19183</v>
      </c>
      <c r="B300" t="inlineStr">
        <is>
          <t>Menage 19183</t>
        </is>
      </c>
      <c r="C300" t="inlineStr">
        <is>
          <t>Particulier</t>
        </is>
      </c>
      <c r="D300" t="inlineStr">
        <is>
          <t>Ouagadougou</t>
        </is>
      </c>
      <c r="E300" t="inlineStr">
        <is>
          <t>Centre</t>
        </is>
      </c>
      <c r="F300" t="inlineStr">
        <is>
          <t>+226 70 82 14 39 31</t>
        </is>
      </c>
      <c r="H300" t="inlineStr">
        <is>
          <t>2024-02-17</t>
        </is>
      </c>
      <c r="I300" t="inlineStr">
        <is>
          <t>Standard</t>
        </is>
      </c>
      <c r="J300" t="inlineStr">
        <is>
          <t>30 j</t>
        </is>
      </c>
      <c r="K300" t="n">
        <v>1500000</v>
      </c>
    </row>
    <row r="301">
      <c r="A301" t="n">
        <v>19185</v>
      </c>
      <c r="B301" t="inlineStr">
        <is>
          <t>Menage 19185</t>
        </is>
      </c>
      <c r="C301" t="inlineStr">
        <is>
          <t>Particulier</t>
        </is>
      </c>
      <c r="D301" t="inlineStr">
        <is>
          <t>Ouagadougou</t>
        </is>
      </c>
      <c r="E301" t="inlineStr">
        <is>
          <t>Centre</t>
        </is>
      </c>
      <c r="F301" t="inlineStr">
        <is>
          <t>+226 74 12 98 17 74</t>
        </is>
      </c>
      <c r="H301" t="inlineStr">
        <is>
          <t>2023-05-21</t>
        </is>
      </c>
      <c r="I301" t="inlineStr">
        <is>
          <t>Standard</t>
        </is>
      </c>
      <c r="J301" t="inlineStr">
        <is>
          <t>Comptant</t>
        </is>
      </c>
      <c r="K301" t="n">
        <v>0</v>
      </c>
    </row>
    <row r="302">
      <c r="A302" t="n">
        <v>19250</v>
      </c>
      <c r="B302" t="inlineStr">
        <is>
          <t>SARL K</t>
        </is>
      </c>
      <c r="C302" t="inlineStr">
        <is>
          <t>Professionnel</t>
        </is>
      </c>
      <c r="D302" t="inlineStr">
        <is>
          <t>Bobo-Dioulasso</t>
        </is>
      </c>
      <c r="E302" t="inlineStr">
        <is>
          <t>Hauts-Bassins</t>
        </is>
      </c>
      <c r="F302" t="inlineStr">
        <is>
          <t>+226 71 13 58 15 32</t>
        </is>
      </c>
      <c r="H302" t="inlineStr">
        <is>
          <t>2020-02-29</t>
        </is>
      </c>
      <c r="I302" t="inlineStr">
        <is>
          <t>Argent</t>
        </is>
      </c>
      <c r="J302" t="inlineStr">
        <is>
          <t>Comptant</t>
        </is>
      </c>
      <c r="K302" t="n">
        <v>1500000</v>
      </c>
    </row>
    <row r="303">
      <c r="A303" t="n">
        <v>19427</v>
      </c>
      <c r="B303" t="inlineStr">
        <is>
          <t>Ets o</t>
        </is>
      </c>
      <c r="C303" t="inlineStr">
        <is>
          <t>Entreprise</t>
        </is>
      </c>
      <c r="D303" t="inlineStr">
        <is>
          <t>Kaya</t>
        </is>
      </c>
      <c r="E303" t="inlineStr">
        <is>
          <t>Centre-Nord</t>
        </is>
      </c>
      <c r="F303" t="inlineStr">
        <is>
          <t>+226 72 58 42 70 90</t>
        </is>
      </c>
      <c r="G303" t="inlineStr">
        <is>
          <t>contact19427@outlook.fr</t>
        </is>
      </c>
      <c r="H303" t="inlineStr">
        <is>
          <t>2023-11-18</t>
        </is>
      </c>
      <c r="I303" t="inlineStr">
        <is>
          <t>Standard</t>
        </is>
      </c>
      <c r="J303" t="inlineStr">
        <is>
          <t>30 j</t>
        </is>
      </c>
      <c r="K303" t="n">
        <v>250000</v>
      </c>
    </row>
    <row r="304">
      <c r="A304" t="n">
        <v>19433</v>
      </c>
      <c r="B304" t="inlineStr">
        <is>
          <t>Menage 19433</t>
        </is>
      </c>
      <c r="C304" t="inlineStr">
        <is>
          <t>Particulier</t>
        </is>
      </c>
      <c r="D304" t="inlineStr">
        <is>
          <t>Ouagadougou</t>
        </is>
      </c>
      <c r="E304" t="inlineStr">
        <is>
          <t>Centre</t>
        </is>
      </c>
      <c r="F304" t="inlineStr">
        <is>
          <t>+226 70 12 36 65 87</t>
        </is>
      </c>
      <c r="H304" t="inlineStr">
        <is>
          <t>2025-09-24</t>
        </is>
      </c>
      <c r="I304" t="inlineStr">
        <is>
          <t>Standard</t>
        </is>
      </c>
      <c r="J304" t="inlineStr">
        <is>
          <t>Comptant</t>
        </is>
      </c>
      <c r="K304" t="n">
        <v>0</v>
      </c>
    </row>
    <row r="305">
      <c r="A305" t="n">
        <v>19457</v>
      </c>
      <c r="B305" t="inlineStr">
        <is>
          <t>Menage 19457</t>
        </is>
      </c>
      <c r="C305" t="inlineStr">
        <is>
          <t>Particulier</t>
        </is>
      </c>
      <c r="D305" t="inlineStr">
        <is>
          <t>Ouagadougou</t>
        </is>
      </c>
      <c r="E305" t="inlineStr">
        <is>
          <t>Centre</t>
        </is>
      </c>
      <c r="F305" t="inlineStr">
        <is>
          <t>+226 78 71 18 77 21</t>
        </is>
      </c>
      <c r="H305" t="inlineStr">
        <is>
          <t>2025-04-21</t>
        </is>
      </c>
      <c r="I305" t="inlineStr">
        <is>
          <t>Standard</t>
        </is>
      </c>
      <c r="J305" t="inlineStr">
        <is>
          <t>30 j</t>
        </is>
      </c>
      <c r="K305" t="n">
        <v>1500000</v>
      </c>
    </row>
    <row r="306">
      <c r="A306" t="n">
        <v>19501</v>
      </c>
      <c r="B306" t="inlineStr">
        <is>
          <t>SARL l</t>
        </is>
      </c>
      <c r="C306" t="inlineStr">
        <is>
          <t>Professionnel</t>
        </is>
      </c>
      <c r="D306" t="inlineStr">
        <is>
          <t>Bobo-Dioulasso</t>
        </is>
      </c>
      <c r="E306" t="inlineStr">
        <is>
          <t>Hauts-Bassins</t>
        </is>
      </c>
      <c r="F306" t="inlineStr">
        <is>
          <t>+226 71 34 40 81 74</t>
        </is>
      </c>
      <c r="H306" t="inlineStr">
        <is>
          <t>2017-09-26</t>
        </is>
      </c>
      <c r="I306" t="inlineStr">
        <is>
          <t>Argent</t>
        </is>
      </c>
      <c r="J306" t="inlineStr">
        <is>
          <t>Comptant</t>
        </is>
      </c>
      <c r="K306" t="n">
        <v>0</v>
      </c>
    </row>
    <row r="307">
      <c r="A307" t="n">
        <v>19541</v>
      </c>
      <c r="B307" t="inlineStr">
        <is>
          <t>Ets a</t>
        </is>
      </c>
      <c r="C307" t="inlineStr">
        <is>
          <t>Entreprise</t>
        </is>
      </c>
      <c r="D307" t="inlineStr">
        <is>
          <t>Ouagadougou</t>
        </is>
      </c>
      <c r="E307" t="inlineStr">
        <is>
          <t>Centre</t>
        </is>
      </c>
      <c r="F307" t="inlineStr">
        <is>
          <t>+226 73 52 58 14 89</t>
        </is>
      </c>
      <c r="G307" t="inlineStr">
        <is>
          <t>contact19541@outlook.fr</t>
        </is>
      </c>
      <c r="H307" t="inlineStr">
        <is>
          <t>2018-10-03</t>
        </is>
      </c>
      <c r="I307" t="inlineStr">
        <is>
          <t>Argent</t>
        </is>
      </c>
      <c r="J307" t="inlineStr">
        <is>
          <t>Comptant</t>
        </is>
      </c>
      <c r="K307" t="n">
        <v>0</v>
      </c>
    </row>
    <row r="308">
      <c r="A308" t="n">
        <v>19650</v>
      </c>
      <c r="B308" t="inlineStr">
        <is>
          <t>Menage 19650</t>
        </is>
      </c>
      <c r="C308" t="inlineStr">
        <is>
          <t>Particulier</t>
        </is>
      </c>
      <c r="D308" t="inlineStr">
        <is>
          <t>Ziniaré</t>
        </is>
      </c>
      <c r="E308" t="inlineStr">
        <is>
          <t>Plateau-Central</t>
        </is>
      </c>
      <c r="F308" t="inlineStr">
        <is>
          <t>+226 78 88 99 12 69</t>
        </is>
      </c>
      <c r="H308" t="inlineStr">
        <is>
          <t>2024-09-16</t>
        </is>
      </c>
      <c r="I308" t="inlineStr">
        <is>
          <t>Argent</t>
        </is>
      </c>
      <c r="J308" t="inlineStr">
        <is>
          <t>Comptant</t>
        </is>
      </c>
      <c r="K308" t="n">
        <v>0</v>
      </c>
    </row>
    <row r="309">
      <c r="A309" t="n">
        <v>19670</v>
      </c>
      <c r="B309" t="inlineStr">
        <is>
          <t>SARL a</t>
        </is>
      </c>
      <c r="C309" t="inlineStr">
        <is>
          <t>Professionnel</t>
        </is>
      </c>
      <c r="D309" t="inlineStr">
        <is>
          <t>Ouagadougou</t>
        </is>
      </c>
      <c r="E309" t="inlineStr">
        <is>
          <t>Centre</t>
        </is>
      </c>
      <c r="F309" t="inlineStr">
        <is>
          <t>+226 75 57 40 63 44</t>
        </is>
      </c>
      <c r="G309" t="inlineStr">
        <is>
          <t>contact19670@yahoo.fr</t>
        </is>
      </c>
      <c r="H309" t="inlineStr">
        <is>
          <t>2017-07-21</t>
        </is>
      </c>
      <c r="I309" t="inlineStr">
        <is>
          <t>Argent</t>
        </is>
      </c>
      <c r="J309" t="inlineStr">
        <is>
          <t>30 j</t>
        </is>
      </c>
      <c r="K309" t="n">
        <v>0</v>
      </c>
    </row>
    <row r="310">
      <c r="A310" t="n">
        <v>19747</v>
      </c>
      <c r="B310" t="inlineStr">
        <is>
          <t>Ets o</t>
        </is>
      </c>
      <c r="C310" t="inlineStr">
        <is>
          <t>Professionnel</t>
        </is>
      </c>
      <c r="D310" t="inlineStr">
        <is>
          <t>Bobo-Dioulasso</t>
        </is>
      </c>
      <c r="E310" t="inlineStr">
        <is>
          <t>Hauts-Bassins</t>
        </is>
      </c>
      <c r="F310" t="inlineStr">
        <is>
          <t>+226 73 51 87 19 58</t>
        </is>
      </c>
      <c r="H310" t="inlineStr">
        <is>
          <t>2016-06-20</t>
        </is>
      </c>
      <c r="I310" t="inlineStr">
        <is>
          <t>Or</t>
        </is>
      </c>
      <c r="J310" t="inlineStr">
        <is>
          <t>30 j</t>
        </is>
      </c>
      <c r="K310" t="n">
        <v>1500000</v>
      </c>
    </row>
    <row r="311">
      <c r="A311" t="n">
        <v>19801</v>
      </c>
      <c r="B311" t="inlineStr">
        <is>
          <t>Menage 19801</t>
        </is>
      </c>
      <c r="C311" t="inlineStr">
        <is>
          <t>Particulier</t>
        </is>
      </c>
      <c r="D311" t="inlineStr">
        <is>
          <t>Koudougou</t>
        </is>
      </c>
      <c r="E311" t="inlineStr">
        <is>
          <t>Centre-Ouest</t>
        </is>
      </c>
      <c r="F311" t="inlineStr">
        <is>
          <t>+226 79 41 42 69 37</t>
        </is>
      </c>
      <c r="H311" t="inlineStr">
        <is>
          <t>2019-04-05</t>
        </is>
      </c>
      <c r="I311" t="inlineStr">
        <is>
          <t>Standard</t>
        </is>
      </c>
      <c r="J311" t="inlineStr">
        <is>
          <t>Comptant</t>
        </is>
      </c>
      <c r="K311" t="n">
        <v>0</v>
      </c>
    </row>
    <row r="312">
      <c r="A312" t="n">
        <v>19875</v>
      </c>
      <c r="B312" t="inlineStr">
        <is>
          <t>Menage 19875</t>
        </is>
      </c>
      <c r="C312" t="inlineStr">
        <is>
          <t>Particulier</t>
        </is>
      </c>
      <c r="D312" t="inlineStr">
        <is>
          <t>Ouagadougou</t>
        </is>
      </c>
      <c r="E312" t="inlineStr">
        <is>
          <t>Centre</t>
        </is>
      </c>
      <c r="F312" t="inlineStr">
        <is>
          <t>+226 79 44 81 22 32</t>
        </is>
      </c>
      <c r="H312" t="inlineStr">
        <is>
          <t>2018-10-03</t>
        </is>
      </c>
      <c r="I312" t="inlineStr">
        <is>
          <t>Argent</t>
        </is>
      </c>
      <c r="J312" t="inlineStr">
        <is>
          <t>60 j</t>
        </is>
      </c>
      <c r="K312" t="n">
        <v>0</v>
      </c>
    </row>
    <row r="313">
      <c r="A313" t="n">
        <v>19885</v>
      </c>
      <c r="B313" t="inlineStr">
        <is>
          <t>Menage 19885</t>
        </is>
      </c>
      <c r="C313" t="inlineStr">
        <is>
          <t>Particulier</t>
        </is>
      </c>
      <c r="D313" t="inlineStr">
        <is>
          <t>Bobo-Dioulasso</t>
        </is>
      </c>
      <c r="E313" t="inlineStr">
        <is>
          <t>Hauts-Bassins</t>
        </is>
      </c>
      <c r="F313" t="inlineStr">
        <is>
          <t>+226 72 66 20 25 15</t>
        </is>
      </c>
      <c r="H313" t="inlineStr">
        <is>
          <t>2017-01-10</t>
        </is>
      </c>
      <c r="I313" t="inlineStr">
        <is>
          <t>Argent</t>
        </is>
      </c>
      <c r="J313" t="inlineStr">
        <is>
          <t>Comptant</t>
        </is>
      </c>
      <c r="K313" t="n">
        <v>500000</v>
      </c>
    </row>
    <row r="314">
      <c r="A314" t="n">
        <v>20136</v>
      </c>
      <c r="B314" t="inlineStr">
        <is>
          <t>Menage 20136</t>
        </is>
      </c>
      <c r="C314" t="inlineStr">
        <is>
          <t>Particulier</t>
        </is>
      </c>
      <c r="D314" t="inlineStr">
        <is>
          <t>Ouagadougou</t>
        </is>
      </c>
      <c r="E314" t="inlineStr">
        <is>
          <t>Centre</t>
        </is>
      </c>
      <c r="F314" t="inlineStr">
        <is>
          <t>+226 79 23 87 20 62</t>
        </is>
      </c>
      <c r="H314" t="inlineStr">
        <is>
          <t>2018-11-12</t>
        </is>
      </c>
      <c r="I314" t="inlineStr">
        <is>
          <t>Argent</t>
        </is>
      </c>
      <c r="J314" t="inlineStr">
        <is>
          <t>Comptant</t>
        </is>
      </c>
      <c r="K314" t="n">
        <v>250000</v>
      </c>
    </row>
    <row r="315">
      <c r="A315" t="n">
        <v>20154</v>
      </c>
      <c r="B315" t="inlineStr">
        <is>
          <t>Menage 20154</t>
        </is>
      </c>
      <c r="C315" t="inlineStr">
        <is>
          <t>Particulier</t>
        </is>
      </c>
      <c r="D315" t="inlineStr">
        <is>
          <t>Ouagadougou</t>
        </is>
      </c>
      <c r="E315" t="inlineStr">
        <is>
          <t>Centre</t>
        </is>
      </c>
      <c r="F315" t="inlineStr">
        <is>
          <t>+226 70 83 97 68 56</t>
        </is>
      </c>
      <c r="H315" t="inlineStr">
        <is>
          <t>2023-01-25</t>
        </is>
      </c>
      <c r="I315" t="inlineStr">
        <is>
          <t>Standard</t>
        </is>
      </c>
      <c r="J315" t="inlineStr">
        <is>
          <t>Comptant</t>
        </is>
      </c>
      <c r="K315" t="n">
        <v>500000</v>
      </c>
    </row>
    <row r="316">
      <c r="A316" t="n">
        <v>20263</v>
      </c>
      <c r="B316" t="inlineStr">
        <is>
          <t>Menage 20263</t>
        </is>
      </c>
      <c r="C316" t="inlineStr">
        <is>
          <t>Particulier</t>
        </is>
      </c>
      <c r="D316" t="inlineStr">
        <is>
          <t>Koudougou</t>
        </is>
      </c>
      <c r="E316" t="inlineStr">
        <is>
          <t>Centre-Ouest</t>
        </is>
      </c>
      <c r="F316" t="inlineStr">
        <is>
          <t>+226 73 90 41 82 65</t>
        </is>
      </c>
      <c r="H316" t="inlineStr">
        <is>
          <t>2020-12-06</t>
        </is>
      </c>
      <c r="I316" t="inlineStr">
        <is>
          <t>Standard</t>
        </is>
      </c>
      <c r="J316" t="inlineStr">
        <is>
          <t>Comptant</t>
        </is>
      </c>
      <c r="K316" t="n">
        <v>500000</v>
      </c>
    </row>
    <row r="317">
      <c r="A317" t="n">
        <v>20360</v>
      </c>
      <c r="B317" t="inlineStr">
        <is>
          <t>Ets u</t>
        </is>
      </c>
      <c r="C317" t="inlineStr">
        <is>
          <t>Entreprise</t>
        </is>
      </c>
      <c r="D317" t="inlineStr">
        <is>
          <t>Koudougou</t>
        </is>
      </c>
      <c r="E317" t="inlineStr">
        <is>
          <t>Centre-Ouest</t>
        </is>
      </c>
      <c r="F317" t="inlineStr">
        <is>
          <t>+226 77 63 49 73 86</t>
        </is>
      </c>
      <c r="G317" t="inlineStr">
        <is>
          <t>contact20360@entreprise.bf</t>
        </is>
      </c>
      <c r="H317" t="inlineStr">
        <is>
          <t>2023-06-14</t>
        </is>
      </c>
      <c r="I317" t="inlineStr">
        <is>
          <t>Standard</t>
        </is>
      </c>
      <c r="J317" t="inlineStr">
        <is>
          <t>60 j</t>
        </is>
      </c>
      <c r="K317" t="n">
        <v>1500000</v>
      </c>
    </row>
    <row r="318">
      <c r="A318" t="n">
        <v>20401</v>
      </c>
      <c r="B318" t="inlineStr">
        <is>
          <t>Menage 20401</t>
        </is>
      </c>
      <c r="C318" t="inlineStr">
        <is>
          <t>Particulier</t>
        </is>
      </c>
      <c r="D318" t="inlineStr">
        <is>
          <t>Kaya</t>
        </is>
      </c>
      <c r="E318" t="inlineStr">
        <is>
          <t>Centre-Nord</t>
        </is>
      </c>
      <c r="F318" t="inlineStr">
        <is>
          <t>+226 76 62 48 25 80</t>
        </is>
      </c>
      <c r="H318" t="inlineStr">
        <is>
          <t>2018-09-07</t>
        </is>
      </c>
      <c r="I318" t="inlineStr">
        <is>
          <t>Standard</t>
        </is>
      </c>
      <c r="J318" t="inlineStr">
        <is>
          <t>Comptant</t>
        </is>
      </c>
      <c r="K318" t="n">
        <v>0</v>
      </c>
    </row>
    <row r="319">
      <c r="A319" t="n">
        <v>20420</v>
      </c>
      <c r="B319" t="inlineStr">
        <is>
          <t>Chantiers a</t>
        </is>
      </c>
      <c r="C319" t="inlineStr">
        <is>
          <t>Administration</t>
        </is>
      </c>
      <c r="D319" t="inlineStr">
        <is>
          <t>Ouagadougou</t>
        </is>
      </c>
      <c r="E319" t="inlineStr">
        <is>
          <t>Centre</t>
        </is>
      </c>
      <c r="F319" t="inlineStr">
        <is>
          <t>+226 78 63 13 33 78</t>
        </is>
      </c>
      <c r="G319" t="inlineStr">
        <is>
          <t>contact20420@entreprise.bf</t>
        </is>
      </c>
      <c r="H319" t="inlineStr">
        <is>
          <t>2026-02-24</t>
        </is>
      </c>
      <c r="I319" t="inlineStr">
        <is>
          <t>Or</t>
        </is>
      </c>
      <c r="J319" t="inlineStr">
        <is>
          <t>Comptant</t>
        </is>
      </c>
      <c r="K319" t="n">
        <v>0</v>
      </c>
    </row>
    <row r="320">
      <c r="A320" t="n">
        <v>20454</v>
      </c>
      <c r="B320" t="inlineStr">
        <is>
          <t>Menage 20454</t>
        </is>
      </c>
      <c r="C320" t="inlineStr">
        <is>
          <t>Particulier</t>
        </is>
      </c>
      <c r="D320" t="inlineStr">
        <is>
          <t>Bobo-Dioulasso</t>
        </is>
      </c>
      <c r="E320" t="inlineStr">
        <is>
          <t>Hauts-Bassins</t>
        </is>
      </c>
      <c r="F320" t="inlineStr">
        <is>
          <t>+226 74 59 87 65 62</t>
        </is>
      </c>
      <c r="H320" t="inlineStr">
        <is>
          <t>2019-09-25</t>
        </is>
      </c>
      <c r="I320" t="inlineStr">
        <is>
          <t>Argent</t>
        </is>
      </c>
      <c r="J320" t="inlineStr">
        <is>
          <t>30 j</t>
        </is>
      </c>
      <c r="K320" t="n">
        <v>0</v>
      </c>
    </row>
    <row r="321">
      <c r="A321" t="n">
        <v>20513</v>
      </c>
      <c r="B321" t="inlineStr">
        <is>
          <t>Menage 20513</t>
        </is>
      </c>
      <c r="C321" t="inlineStr">
        <is>
          <t>Particulier</t>
        </is>
      </c>
      <c r="D321" t="inlineStr">
        <is>
          <t>Ouagadougou</t>
        </is>
      </c>
      <c r="E321" t="inlineStr">
        <is>
          <t>Centre</t>
        </is>
      </c>
      <c r="F321" t="inlineStr">
        <is>
          <t>+226 74 29 12 76 80</t>
        </is>
      </c>
      <c r="H321" t="inlineStr">
        <is>
          <t>2022-06-15</t>
        </is>
      </c>
      <c r="I321" t="inlineStr">
        <is>
          <t>Standard</t>
        </is>
      </c>
      <c r="J321" t="inlineStr">
        <is>
          <t>30 j</t>
        </is>
      </c>
      <c r="K321" t="n">
        <v>1500000</v>
      </c>
    </row>
    <row r="322">
      <c r="A322" t="n">
        <v>20631</v>
      </c>
      <c r="B322" t="inlineStr">
        <is>
          <t>Menage 20631</t>
        </is>
      </c>
      <c r="C322" t="inlineStr">
        <is>
          <t>Particulier</t>
        </is>
      </c>
      <c r="D322" t="inlineStr">
        <is>
          <t>Ouagadougou</t>
        </is>
      </c>
      <c r="E322" t="inlineStr">
        <is>
          <t>Centre</t>
        </is>
      </c>
      <c r="F322" t="inlineStr">
        <is>
          <t>+226 77 89 13 40 60</t>
        </is>
      </c>
      <c r="H322" t="inlineStr">
        <is>
          <t>2017-03-11</t>
        </is>
      </c>
      <c r="I322" t="inlineStr">
        <is>
          <t>Standard</t>
        </is>
      </c>
      <c r="J322" t="inlineStr">
        <is>
          <t>Comptant</t>
        </is>
      </c>
      <c r="K322" t="n">
        <v>1500000</v>
      </c>
    </row>
    <row r="323">
      <c r="A323" t="n">
        <v>20670</v>
      </c>
      <c r="B323" t="inlineStr">
        <is>
          <t>Chantiers a</t>
        </is>
      </c>
      <c r="C323" t="inlineStr">
        <is>
          <t>Professionnel</t>
        </is>
      </c>
      <c r="D323" t="inlineStr">
        <is>
          <t>Bobo-Dioulasso</t>
        </is>
      </c>
      <c r="E323" t="inlineStr">
        <is>
          <t>Hauts-Bassins</t>
        </is>
      </c>
      <c r="F323" t="inlineStr">
        <is>
          <t>+226 70 87 15 27 53</t>
        </is>
      </c>
      <c r="G323" t="inlineStr">
        <is>
          <t>contact20670@yahoo.fr</t>
        </is>
      </c>
      <c r="H323" t="inlineStr">
        <is>
          <t>2018-03-12</t>
        </is>
      </c>
      <c r="I323" t="inlineStr">
        <is>
          <t>Standard</t>
        </is>
      </c>
      <c r="J323" t="inlineStr">
        <is>
          <t>Comptant</t>
        </is>
      </c>
      <c r="K323" t="n">
        <v>1500000</v>
      </c>
    </row>
    <row r="324">
      <c r="A324" t="n">
        <v>20693</v>
      </c>
      <c r="B324" t="inlineStr">
        <is>
          <t>Chantiers t</t>
        </is>
      </c>
      <c r="C324" t="inlineStr">
        <is>
          <t>Professionnel</t>
        </is>
      </c>
      <c r="D324" t="inlineStr">
        <is>
          <t>Ouagadougou</t>
        </is>
      </c>
      <c r="E324" t="inlineStr">
        <is>
          <t>Centre</t>
        </is>
      </c>
      <c r="F324" t="inlineStr">
        <is>
          <t>+226 71 22 77 83 96</t>
        </is>
      </c>
      <c r="G324" t="inlineStr">
        <is>
          <t>contact20693@entreprise.bf</t>
        </is>
      </c>
      <c r="H324" t="inlineStr">
        <is>
          <t>2016-11-01</t>
        </is>
      </c>
      <c r="I324" t="inlineStr">
        <is>
          <t>Standard</t>
        </is>
      </c>
      <c r="J324" t="inlineStr">
        <is>
          <t>Comptant</t>
        </is>
      </c>
      <c r="K324" t="n">
        <v>0</v>
      </c>
    </row>
    <row r="325">
      <c r="A325" t="n">
        <v>20810</v>
      </c>
      <c r="B325" t="inlineStr">
        <is>
          <t>Ets T</t>
        </is>
      </c>
      <c r="C325" t="inlineStr">
        <is>
          <t>Entreprise</t>
        </is>
      </c>
      <c r="D325" t="inlineStr">
        <is>
          <t>Kaya</t>
        </is>
      </c>
      <c r="E325" t="inlineStr">
        <is>
          <t>Centre-Nord</t>
        </is>
      </c>
      <c r="F325" t="inlineStr">
        <is>
          <t>+226 77 53 71 30 55</t>
        </is>
      </c>
      <c r="H325" t="inlineStr">
        <is>
          <t>2025-02-09</t>
        </is>
      </c>
      <c r="I325" t="inlineStr">
        <is>
          <t>Argent</t>
        </is>
      </c>
      <c r="J325" t="inlineStr">
        <is>
          <t>30 j</t>
        </is>
      </c>
      <c r="K325" t="n">
        <v>500000</v>
      </c>
    </row>
    <row r="326">
      <c r="A326" t="n">
        <v>20824</v>
      </c>
      <c r="B326" t="inlineStr">
        <is>
          <t>Menage 20824</t>
        </is>
      </c>
      <c r="C326" t="inlineStr">
        <is>
          <t>Particulier</t>
        </is>
      </c>
      <c r="D326" t="inlineStr">
        <is>
          <t>Ziniaré</t>
        </is>
      </c>
      <c r="E326" t="inlineStr">
        <is>
          <t>Plateau-Central</t>
        </is>
      </c>
      <c r="F326" t="inlineStr">
        <is>
          <t>+226 73 52 45 20 74</t>
        </is>
      </c>
      <c r="H326" t="inlineStr">
        <is>
          <t>2020-10-27</t>
        </is>
      </c>
      <c r="I326" t="inlineStr">
        <is>
          <t>Standard</t>
        </is>
      </c>
      <c r="J326" t="inlineStr">
        <is>
          <t>Comptant</t>
        </is>
      </c>
      <c r="K326" t="n">
        <v>1500000</v>
      </c>
    </row>
    <row r="327">
      <c r="A327" t="n">
        <v>20941</v>
      </c>
      <c r="B327" t="inlineStr">
        <is>
          <t>Menage 20941</t>
        </is>
      </c>
      <c r="C327" t="inlineStr">
        <is>
          <t>Particulier</t>
        </is>
      </c>
      <c r="D327" t="inlineStr">
        <is>
          <t>Ouagadougou</t>
        </is>
      </c>
      <c r="E327" t="inlineStr">
        <is>
          <t>Centre</t>
        </is>
      </c>
      <c r="F327" t="inlineStr">
        <is>
          <t>+226 77 37 58 93 80</t>
        </is>
      </c>
      <c r="H327" t="inlineStr">
        <is>
          <t>2026-05-27</t>
        </is>
      </c>
      <c r="I327" t="inlineStr">
        <is>
          <t>Or</t>
        </is>
      </c>
      <c r="J327" t="inlineStr">
        <is>
          <t>30 j</t>
        </is>
      </c>
      <c r="K327" t="n">
        <v>0</v>
      </c>
    </row>
    <row r="328">
      <c r="A328" t="n">
        <v>20964</v>
      </c>
      <c r="B328" t="inlineStr">
        <is>
          <t>Menage 20964</t>
        </is>
      </c>
      <c r="C328" t="inlineStr">
        <is>
          <t>Particulier</t>
        </is>
      </c>
      <c r="D328" t="inlineStr">
        <is>
          <t>Bobo-Dioulasso</t>
        </is>
      </c>
      <c r="E328" t="inlineStr">
        <is>
          <t>Hauts-Bassins</t>
        </is>
      </c>
      <c r="F328" t="inlineStr">
        <is>
          <t>+226 70 18 62 70 56</t>
        </is>
      </c>
      <c r="H328" t="inlineStr">
        <is>
          <t>2019-03-18</t>
        </is>
      </c>
      <c r="I328" t="inlineStr">
        <is>
          <t>Argent</t>
        </is>
      </c>
      <c r="J328" t="inlineStr">
        <is>
          <t>Comptant</t>
        </is>
      </c>
      <c r="K328" t="n">
        <v>5000000</v>
      </c>
    </row>
    <row r="329">
      <c r="A329" t="n">
        <v>21022</v>
      </c>
      <c r="B329" t="inlineStr">
        <is>
          <t>Menage 21022</t>
        </is>
      </c>
      <c r="C329" t="inlineStr">
        <is>
          <t>Particulier</t>
        </is>
      </c>
      <c r="D329" t="inlineStr">
        <is>
          <t>Ouagadougou</t>
        </is>
      </c>
      <c r="E329" t="inlineStr">
        <is>
          <t>Centre</t>
        </is>
      </c>
      <c r="F329" t="inlineStr">
        <is>
          <t>+226 70 60 50 13 55</t>
        </is>
      </c>
      <c r="H329" t="inlineStr">
        <is>
          <t>2022-01-26</t>
        </is>
      </c>
      <c r="I329" t="inlineStr">
        <is>
          <t>Argent</t>
        </is>
      </c>
      <c r="J329" t="inlineStr">
        <is>
          <t>Comptant</t>
        </is>
      </c>
      <c r="K329" t="n">
        <v>0</v>
      </c>
    </row>
    <row r="330">
      <c r="A330" t="n">
        <v>21035</v>
      </c>
      <c r="B330" t="inlineStr">
        <is>
          <t>SARL a</t>
        </is>
      </c>
      <c r="C330" t="inlineStr">
        <is>
          <t>Professionnel</t>
        </is>
      </c>
      <c r="D330" t="inlineStr">
        <is>
          <t>Koudougou</t>
        </is>
      </c>
      <c r="E330" t="inlineStr">
        <is>
          <t>Centre-Ouest</t>
        </is>
      </c>
      <c r="F330" t="inlineStr">
        <is>
          <t>+226 77 62 46 14 64</t>
        </is>
      </c>
      <c r="G330" t="inlineStr">
        <is>
          <t>contact21035@entreprise.bf</t>
        </is>
      </c>
      <c r="H330" t="inlineStr">
        <is>
          <t>2023-02-27</t>
        </is>
      </c>
      <c r="I330" t="inlineStr">
        <is>
          <t>Argent</t>
        </is>
      </c>
      <c r="J330" t="inlineStr">
        <is>
          <t>Comptant</t>
        </is>
      </c>
      <c r="K330" t="n">
        <v>250000</v>
      </c>
    </row>
    <row r="331">
      <c r="A331" t="n">
        <v>21039</v>
      </c>
      <c r="B331" t="inlineStr">
        <is>
          <t>Menage 21039</t>
        </is>
      </c>
      <c r="C331" t="inlineStr">
        <is>
          <t>Particulier</t>
        </is>
      </c>
      <c r="D331" t="inlineStr">
        <is>
          <t>Kaya</t>
        </is>
      </c>
      <c r="E331" t="inlineStr">
        <is>
          <t>Centre-Nord</t>
        </is>
      </c>
      <c r="F331" t="inlineStr">
        <is>
          <t>+226 70 32 54 22 65</t>
        </is>
      </c>
      <c r="H331" t="inlineStr">
        <is>
          <t>2019-05-19</t>
        </is>
      </c>
      <c r="I331" t="inlineStr">
        <is>
          <t>Standard</t>
        </is>
      </c>
      <c r="J331" t="inlineStr">
        <is>
          <t>Comptant</t>
        </is>
      </c>
      <c r="K331" t="n">
        <v>0</v>
      </c>
    </row>
    <row r="332">
      <c r="A332" t="n">
        <v>21135</v>
      </c>
      <c r="B332" t="inlineStr">
        <is>
          <t>Chantiers a</t>
        </is>
      </c>
      <c r="C332" t="inlineStr">
        <is>
          <t>Entreprise</t>
        </is>
      </c>
      <c r="D332" t="inlineStr">
        <is>
          <t>Ouagadougou</t>
        </is>
      </c>
      <c r="E332" t="inlineStr">
        <is>
          <t>Centre</t>
        </is>
      </c>
      <c r="F332" t="inlineStr">
        <is>
          <t>+226 74 34 84 66 40</t>
        </is>
      </c>
      <c r="G332" t="inlineStr">
        <is>
          <t>contact21135@gmail.com</t>
        </is>
      </c>
      <c r="H332" t="inlineStr">
        <is>
          <t>2025-02-06</t>
        </is>
      </c>
      <c r="I332" t="inlineStr">
        <is>
          <t>Standard</t>
        </is>
      </c>
      <c r="J332" t="inlineStr">
        <is>
          <t>60 j</t>
        </is>
      </c>
      <c r="K332" t="n">
        <v>0</v>
      </c>
    </row>
    <row r="333">
      <c r="A333" t="n">
        <v>21196</v>
      </c>
      <c r="B333" t="inlineStr">
        <is>
          <t>Menage 21196</t>
        </is>
      </c>
      <c r="C333" t="inlineStr">
        <is>
          <t>Particulier</t>
        </is>
      </c>
      <c r="D333" t="inlineStr">
        <is>
          <t>Ouagadougou</t>
        </is>
      </c>
      <c r="E333" t="inlineStr">
        <is>
          <t>Centre</t>
        </is>
      </c>
      <c r="F333" t="inlineStr">
        <is>
          <t>+226 79 52 98 63 12</t>
        </is>
      </c>
      <c r="H333" t="inlineStr">
        <is>
          <t>2024-06-28</t>
        </is>
      </c>
      <c r="I333" t="inlineStr">
        <is>
          <t>Argent</t>
        </is>
      </c>
      <c r="J333" t="inlineStr">
        <is>
          <t>60 j</t>
        </is>
      </c>
      <c r="K333" t="n">
        <v>1500000</v>
      </c>
    </row>
    <row r="334">
      <c r="A334" t="n">
        <v>21264</v>
      </c>
      <c r="B334" t="inlineStr">
        <is>
          <t>Societe S</t>
        </is>
      </c>
      <c r="C334" t="inlineStr">
        <is>
          <t>Professionnel</t>
        </is>
      </c>
      <c r="D334" t="inlineStr">
        <is>
          <t>Koudougou</t>
        </is>
      </c>
      <c r="E334" t="inlineStr">
        <is>
          <t>Centre-Ouest</t>
        </is>
      </c>
      <c r="F334" t="inlineStr">
        <is>
          <t>+226 70 38 37 53 21</t>
        </is>
      </c>
      <c r="G334" t="inlineStr">
        <is>
          <t>contact21264@entreprise.bf</t>
        </is>
      </c>
      <c r="H334" t="inlineStr">
        <is>
          <t>2019-07-21</t>
        </is>
      </c>
      <c r="I334" t="inlineStr">
        <is>
          <t>Argent</t>
        </is>
      </c>
      <c r="J334" t="inlineStr">
        <is>
          <t>Comptant</t>
        </is>
      </c>
      <c r="K334" t="n">
        <v>250000</v>
      </c>
    </row>
    <row r="335">
      <c r="A335" t="n">
        <v>21333</v>
      </c>
      <c r="B335" t="inlineStr">
        <is>
          <t>Menage 21333</t>
        </is>
      </c>
      <c r="C335" t="inlineStr">
        <is>
          <t>Particulier</t>
        </is>
      </c>
      <c r="D335" t="inlineStr">
        <is>
          <t>Kaya</t>
        </is>
      </c>
      <c r="E335" t="inlineStr">
        <is>
          <t>Centre-Nord</t>
        </is>
      </c>
      <c r="F335" t="inlineStr">
        <is>
          <t>+226 76 78 54 56 42</t>
        </is>
      </c>
      <c r="H335" t="inlineStr">
        <is>
          <t>2016-01-28</t>
        </is>
      </c>
      <c r="I335" t="inlineStr">
        <is>
          <t>Argent</t>
        </is>
      </c>
      <c r="J335" t="inlineStr">
        <is>
          <t>Comptant</t>
        </is>
      </c>
      <c r="K335" t="n">
        <v>250000</v>
      </c>
    </row>
    <row r="336">
      <c r="A336" t="n">
        <v>21383</v>
      </c>
      <c r="B336" t="inlineStr">
        <is>
          <t>Menage 21383</t>
        </is>
      </c>
      <c r="C336" t="inlineStr">
        <is>
          <t>Particulier</t>
        </is>
      </c>
      <c r="D336" t="inlineStr">
        <is>
          <t>Ouagadougou</t>
        </is>
      </c>
      <c r="E336" t="inlineStr">
        <is>
          <t>Centre</t>
        </is>
      </c>
      <c r="F336" t="inlineStr">
        <is>
          <t>+226 78 65 88 86 34</t>
        </is>
      </c>
      <c r="H336" t="inlineStr">
        <is>
          <t>2018-09-03</t>
        </is>
      </c>
      <c r="I336" t="inlineStr">
        <is>
          <t>Standard</t>
        </is>
      </c>
      <c r="J336" t="inlineStr">
        <is>
          <t>60 j</t>
        </is>
      </c>
      <c r="K336" t="n">
        <v>250000</v>
      </c>
    </row>
    <row r="337">
      <c r="A337" t="n">
        <v>21535</v>
      </c>
      <c r="B337" t="inlineStr">
        <is>
          <t>Chantiers S</t>
        </is>
      </c>
      <c r="C337" t="inlineStr">
        <is>
          <t>Professionnel</t>
        </is>
      </c>
      <c r="D337" t="inlineStr">
        <is>
          <t>Ouagadougou</t>
        </is>
      </c>
      <c r="E337" t="inlineStr">
        <is>
          <t>Centre</t>
        </is>
      </c>
      <c r="F337" t="inlineStr">
        <is>
          <t>+226 73 56 69 38 82</t>
        </is>
      </c>
      <c r="G337" t="inlineStr">
        <is>
          <t>contact21535@yahoo.fr</t>
        </is>
      </c>
      <c r="H337" t="inlineStr">
        <is>
          <t>2024-01-17</t>
        </is>
      </c>
      <c r="I337" t="inlineStr">
        <is>
          <t>Standard</t>
        </is>
      </c>
      <c r="J337" t="inlineStr">
        <is>
          <t>30 j</t>
        </is>
      </c>
      <c r="K337" t="n">
        <v>500000</v>
      </c>
    </row>
    <row r="338">
      <c r="A338" t="n">
        <v>21539</v>
      </c>
      <c r="B338" t="inlineStr">
        <is>
          <t>Menage 21539</t>
        </is>
      </c>
      <c r="C338" t="inlineStr">
        <is>
          <t>Particulier</t>
        </is>
      </c>
      <c r="D338" t="inlineStr">
        <is>
          <t>Ouagadougou</t>
        </is>
      </c>
      <c r="E338" t="inlineStr">
        <is>
          <t>Centre</t>
        </is>
      </c>
      <c r="F338" t="inlineStr">
        <is>
          <t>+226 74 66 41 40 15</t>
        </is>
      </c>
      <c r="H338" t="inlineStr">
        <is>
          <t>2024-11-24</t>
        </is>
      </c>
      <c r="I338" t="inlineStr">
        <is>
          <t>Argent</t>
        </is>
      </c>
      <c r="J338" t="inlineStr">
        <is>
          <t>30 j</t>
        </is>
      </c>
      <c r="K338" t="n">
        <v>0</v>
      </c>
    </row>
    <row r="339">
      <c r="A339" t="n">
        <v>21662</v>
      </c>
      <c r="B339" t="inlineStr">
        <is>
          <t>SARL K</t>
        </is>
      </c>
      <c r="C339" t="inlineStr">
        <is>
          <t>Professionnel</t>
        </is>
      </c>
      <c r="D339" t="inlineStr">
        <is>
          <t>Ouagadougou</t>
        </is>
      </c>
      <c r="E339" t="inlineStr">
        <is>
          <t>Centre</t>
        </is>
      </c>
      <c r="F339" t="inlineStr">
        <is>
          <t>+226 71 49 57 91 47</t>
        </is>
      </c>
      <c r="G339" t="inlineStr">
        <is>
          <t>contact21662@outlook.fr</t>
        </is>
      </c>
      <c r="H339" t="inlineStr">
        <is>
          <t>2021-02-16</t>
        </is>
      </c>
      <c r="I339" t="inlineStr">
        <is>
          <t>Or</t>
        </is>
      </c>
      <c r="J339" t="inlineStr">
        <is>
          <t>Comptant</t>
        </is>
      </c>
      <c r="K339" t="n">
        <v>1500000</v>
      </c>
    </row>
    <row r="340">
      <c r="A340" t="n">
        <v>21680</v>
      </c>
      <c r="B340" t="inlineStr">
        <is>
          <t>Ets n</t>
        </is>
      </c>
      <c r="C340" t="inlineStr">
        <is>
          <t>Entreprise</t>
        </is>
      </c>
      <c r="D340" t="inlineStr">
        <is>
          <t>Ziniaré</t>
        </is>
      </c>
      <c r="E340" t="inlineStr">
        <is>
          <t>Plateau-Central</t>
        </is>
      </c>
      <c r="F340" t="inlineStr">
        <is>
          <t>+226 71 73 74 16 32</t>
        </is>
      </c>
      <c r="H340" t="inlineStr">
        <is>
          <t>2024-12-09</t>
        </is>
      </c>
      <c r="I340" t="inlineStr">
        <is>
          <t>Standard</t>
        </is>
      </c>
      <c r="J340" t="inlineStr">
        <is>
          <t>Comptant</t>
        </is>
      </c>
      <c r="K340" t="n">
        <v>0</v>
      </c>
    </row>
    <row r="341">
      <c r="A341" t="n">
        <v>21739</v>
      </c>
      <c r="B341" t="inlineStr">
        <is>
          <t>Societe o</t>
        </is>
      </c>
      <c r="C341" t="inlineStr">
        <is>
          <t>Professionnel</t>
        </is>
      </c>
      <c r="D341" t="inlineStr">
        <is>
          <t>Kaya</t>
        </is>
      </c>
      <c r="E341" t="inlineStr">
        <is>
          <t>Centre-Nord</t>
        </is>
      </c>
      <c r="F341" t="inlineStr">
        <is>
          <t>+226 72 99 89 99 15</t>
        </is>
      </c>
      <c r="H341" t="inlineStr">
        <is>
          <t>2021-05-05</t>
        </is>
      </c>
      <c r="I341" t="inlineStr">
        <is>
          <t>Argent</t>
        </is>
      </c>
      <c r="J341" t="inlineStr">
        <is>
          <t>Comptant</t>
        </is>
      </c>
      <c r="K341" t="n">
        <v>1500000</v>
      </c>
    </row>
    <row r="342">
      <c r="A342" t="n">
        <v>21755</v>
      </c>
      <c r="B342" t="inlineStr">
        <is>
          <t>Menage 21755</t>
        </is>
      </c>
      <c r="C342" t="inlineStr">
        <is>
          <t>Particulier</t>
        </is>
      </c>
      <c r="D342" t="inlineStr">
        <is>
          <t>Bobo-Dioulasso</t>
        </is>
      </c>
      <c r="E342" t="inlineStr">
        <is>
          <t>Hauts-Bassins</t>
        </is>
      </c>
      <c r="F342" t="inlineStr">
        <is>
          <t>+226 73 84 14 93 36</t>
        </is>
      </c>
      <c r="H342" t="inlineStr">
        <is>
          <t>2026-02-06</t>
        </is>
      </c>
      <c r="I342" t="inlineStr">
        <is>
          <t>Or</t>
        </is>
      </c>
      <c r="J342" t="inlineStr">
        <is>
          <t>Comptant</t>
        </is>
      </c>
      <c r="K342" t="n">
        <v>0</v>
      </c>
    </row>
    <row r="343">
      <c r="A343" t="n">
        <v>21805</v>
      </c>
      <c r="B343" t="inlineStr">
        <is>
          <t>Menage 21805</t>
        </is>
      </c>
      <c r="C343" t="inlineStr">
        <is>
          <t>Particulier</t>
        </is>
      </c>
      <c r="D343" t="inlineStr">
        <is>
          <t>Ouagadougou</t>
        </is>
      </c>
      <c r="E343" t="inlineStr">
        <is>
          <t>Centre</t>
        </is>
      </c>
      <c r="F343" t="inlineStr">
        <is>
          <t>+226 74 77 49 41 21</t>
        </is>
      </c>
      <c r="H343" t="inlineStr">
        <is>
          <t>2020-12-22</t>
        </is>
      </c>
      <c r="I343" t="inlineStr">
        <is>
          <t>Or</t>
        </is>
      </c>
      <c r="J343" t="inlineStr">
        <is>
          <t>Comptant</t>
        </is>
      </c>
      <c r="K343" t="n">
        <v>0</v>
      </c>
    </row>
    <row r="344">
      <c r="A344" t="n">
        <v>21884</v>
      </c>
      <c r="B344" t="inlineStr">
        <is>
          <t>Ets a</t>
        </is>
      </c>
      <c r="C344" t="inlineStr">
        <is>
          <t>Professionnel</t>
        </is>
      </c>
      <c r="D344" t="inlineStr">
        <is>
          <t>Bobo-Dioulasso</t>
        </is>
      </c>
      <c r="E344" t="inlineStr">
        <is>
          <t>Hauts-Bassins</t>
        </is>
      </c>
      <c r="F344" t="inlineStr">
        <is>
          <t>+226 72 43 64 83 74</t>
        </is>
      </c>
      <c r="H344" t="inlineStr">
        <is>
          <t>2017-08-18</t>
        </is>
      </c>
      <c r="I344" t="inlineStr">
        <is>
          <t>Argent</t>
        </is>
      </c>
      <c r="J344" t="inlineStr">
        <is>
          <t>Comptant</t>
        </is>
      </c>
      <c r="K344" t="n">
        <v>0</v>
      </c>
    </row>
    <row r="345">
      <c r="A345" t="n">
        <v>21909</v>
      </c>
      <c r="B345" t="inlineStr">
        <is>
          <t>Ets g</t>
        </is>
      </c>
      <c r="C345" t="inlineStr">
        <is>
          <t>Professionnel</t>
        </is>
      </c>
      <c r="D345" t="inlineStr">
        <is>
          <t>Ouagadougou</t>
        </is>
      </c>
      <c r="E345" t="inlineStr">
        <is>
          <t>Centre</t>
        </is>
      </c>
      <c r="F345" t="inlineStr">
        <is>
          <t>+226 75 74 48 23 10</t>
        </is>
      </c>
      <c r="G345" t="inlineStr">
        <is>
          <t>contact21909@gmail.com</t>
        </is>
      </c>
      <c r="H345" t="inlineStr">
        <is>
          <t>2016-09-07</t>
        </is>
      </c>
      <c r="I345" t="inlineStr">
        <is>
          <t>Standard</t>
        </is>
      </c>
      <c r="J345" t="inlineStr">
        <is>
          <t>Comptant</t>
        </is>
      </c>
      <c r="K345" t="n">
        <v>250000</v>
      </c>
    </row>
    <row r="346">
      <c r="A346" t="n">
        <v>21939</v>
      </c>
      <c r="B346" t="inlineStr">
        <is>
          <t>Menage 21939</t>
        </is>
      </c>
      <c r="C346" t="inlineStr">
        <is>
          <t>Particulier</t>
        </is>
      </c>
      <c r="D346" t="inlineStr">
        <is>
          <t>Ouagadougou</t>
        </is>
      </c>
      <c r="E346" t="inlineStr">
        <is>
          <t>Centre</t>
        </is>
      </c>
      <c r="F346" t="inlineStr">
        <is>
          <t>+226 78 12 30 30 95</t>
        </is>
      </c>
      <c r="H346" t="inlineStr">
        <is>
          <t>2017-05-21</t>
        </is>
      </c>
      <c r="I346" t="inlineStr">
        <is>
          <t>Standard</t>
        </is>
      </c>
      <c r="J346" t="inlineStr">
        <is>
          <t>Comptant</t>
        </is>
      </c>
      <c r="K346" t="n">
        <v>500000</v>
      </c>
    </row>
    <row r="347">
      <c r="A347" t="n">
        <v>21947</v>
      </c>
      <c r="B347" t="inlineStr">
        <is>
          <t>SARL o</t>
        </is>
      </c>
      <c r="C347" t="inlineStr">
        <is>
          <t>Professionnel</t>
        </is>
      </c>
      <c r="D347" t="inlineStr">
        <is>
          <t>Koudougou</t>
        </is>
      </c>
      <c r="E347" t="inlineStr">
        <is>
          <t>Centre-Ouest</t>
        </is>
      </c>
      <c r="F347" t="inlineStr">
        <is>
          <t>+226 76 77 14 30 80</t>
        </is>
      </c>
      <c r="G347" t="inlineStr">
        <is>
          <t>contact21947@gmail.com</t>
        </is>
      </c>
      <c r="H347" t="inlineStr">
        <is>
          <t>2021-05-07</t>
        </is>
      </c>
      <c r="I347" t="inlineStr">
        <is>
          <t>Argent</t>
        </is>
      </c>
      <c r="J347" t="inlineStr">
        <is>
          <t>Comptant</t>
        </is>
      </c>
      <c r="K347" t="n">
        <v>250000</v>
      </c>
    </row>
    <row r="348">
      <c r="A348" t="n">
        <v>21989</v>
      </c>
      <c r="B348" t="inlineStr">
        <is>
          <t>Ets D</t>
        </is>
      </c>
      <c r="C348" t="inlineStr">
        <is>
          <t>Entreprise</t>
        </is>
      </c>
      <c r="D348" t="inlineStr">
        <is>
          <t>Ouagadougou</t>
        </is>
      </c>
      <c r="E348" t="inlineStr">
        <is>
          <t>Centre</t>
        </is>
      </c>
      <c r="F348" t="inlineStr">
        <is>
          <t>+226 79 31 76 85 31</t>
        </is>
      </c>
      <c r="G348" t="inlineStr">
        <is>
          <t>contact21989@outlook.fr</t>
        </is>
      </c>
      <c r="H348" t="inlineStr">
        <is>
          <t>2020-01-18</t>
        </is>
      </c>
      <c r="I348" t="inlineStr">
        <is>
          <t>Or</t>
        </is>
      </c>
      <c r="J348" t="inlineStr">
        <is>
          <t>Comptant</t>
        </is>
      </c>
      <c r="K348" t="n">
        <v>500000</v>
      </c>
    </row>
    <row r="349">
      <c r="A349" t="n">
        <v>22027</v>
      </c>
      <c r="B349" t="inlineStr">
        <is>
          <t>Menage 22027</t>
        </is>
      </c>
      <c r="C349" t="inlineStr">
        <is>
          <t>Particulier</t>
        </is>
      </c>
      <c r="D349" t="inlineStr">
        <is>
          <t>Koudougou</t>
        </is>
      </c>
      <c r="E349" t="inlineStr">
        <is>
          <t>Centre-Ouest</t>
        </is>
      </c>
      <c r="F349" t="inlineStr">
        <is>
          <t>+226 75 50 29 98 45</t>
        </is>
      </c>
      <c r="H349" t="inlineStr">
        <is>
          <t>2022-12-21</t>
        </is>
      </c>
      <c r="I349" t="inlineStr">
        <is>
          <t>Argent</t>
        </is>
      </c>
      <c r="J349" t="inlineStr">
        <is>
          <t>Comptant</t>
        </is>
      </c>
      <c r="K349" t="n">
        <v>500000</v>
      </c>
    </row>
    <row r="350">
      <c r="A350" t="n">
        <v>22055</v>
      </c>
      <c r="B350" t="inlineStr">
        <is>
          <t>Menage 22055</t>
        </is>
      </c>
      <c r="C350" t="inlineStr">
        <is>
          <t>Particulier</t>
        </is>
      </c>
      <c r="D350" t="inlineStr">
        <is>
          <t>Bobo-Dioulasso</t>
        </is>
      </c>
      <c r="E350" t="inlineStr">
        <is>
          <t>Hauts-Bassins</t>
        </is>
      </c>
      <c r="F350" t="inlineStr">
        <is>
          <t>+226 72 88 44 49 41</t>
        </is>
      </c>
      <c r="H350" t="inlineStr">
        <is>
          <t>2021-01-01</t>
        </is>
      </c>
      <c r="I350" t="inlineStr">
        <is>
          <t>Standard</t>
        </is>
      </c>
      <c r="J350" t="inlineStr">
        <is>
          <t>30 j</t>
        </is>
      </c>
      <c r="K350" t="n">
        <v>0</v>
      </c>
    </row>
    <row r="351">
      <c r="A351" t="n">
        <v>22119</v>
      </c>
      <c r="B351" t="inlineStr">
        <is>
          <t>Menage 22119</t>
        </is>
      </c>
      <c r="C351" t="inlineStr">
        <is>
          <t>Particulier</t>
        </is>
      </c>
      <c r="D351" t="inlineStr">
        <is>
          <t>Ouagadougou</t>
        </is>
      </c>
      <c r="E351" t="inlineStr">
        <is>
          <t>Centre</t>
        </is>
      </c>
      <c r="F351" t="inlineStr">
        <is>
          <t>+226 76 48 35 28 19</t>
        </is>
      </c>
      <c r="H351" t="inlineStr">
        <is>
          <t>2019-08-09</t>
        </is>
      </c>
      <c r="I351" t="inlineStr">
        <is>
          <t>Standard</t>
        </is>
      </c>
      <c r="J351" t="inlineStr">
        <is>
          <t>Comptant</t>
        </is>
      </c>
      <c r="K351" t="n">
        <v>0</v>
      </c>
    </row>
    <row r="352">
      <c r="A352" t="n">
        <v>22191</v>
      </c>
      <c r="B352" t="inlineStr">
        <is>
          <t>Menage 22191</t>
        </is>
      </c>
      <c r="C352" t="inlineStr">
        <is>
          <t>Particulier</t>
        </is>
      </c>
      <c r="D352" t="inlineStr">
        <is>
          <t>Koudougou</t>
        </is>
      </c>
      <c r="E352" t="inlineStr">
        <is>
          <t>Centre-Ouest</t>
        </is>
      </c>
      <c r="F352" t="inlineStr">
        <is>
          <t>+226 78 77 85 13 27</t>
        </is>
      </c>
      <c r="H352" t="inlineStr">
        <is>
          <t>2016-09-18</t>
        </is>
      </c>
      <c r="I352" t="inlineStr">
        <is>
          <t>Argent</t>
        </is>
      </c>
      <c r="J352" t="inlineStr">
        <is>
          <t>30 j</t>
        </is>
      </c>
      <c r="K352" t="n">
        <v>0</v>
      </c>
    </row>
    <row r="353">
      <c r="A353" t="n">
        <v>22297</v>
      </c>
      <c r="B353" t="inlineStr">
        <is>
          <t>Ets a</t>
        </is>
      </c>
      <c r="C353" t="inlineStr">
        <is>
          <t>Professionnel</t>
        </is>
      </c>
      <c r="D353" t="inlineStr">
        <is>
          <t>Ouagadougou</t>
        </is>
      </c>
      <c r="E353" t="inlineStr">
        <is>
          <t>Centre</t>
        </is>
      </c>
      <c r="F353" t="inlineStr">
        <is>
          <t>+226 70 43 19 53 95</t>
        </is>
      </c>
      <c r="G353" t="inlineStr">
        <is>
          <t>contact22297@gmail.com</t>
        </is>
      </c>
      <c r="H353" t="inlineStr">
        <is>
          <t>2024-09-22</t>
        </is>
      </c>
      <c r="I353" t="inlineStr">
        <is>
          <t>Standard</t>
        </is>
      </c>
      <c r="J353" t="inlineStr">
        <is>
          <t>Comptant</t>
        </is>
      </c>
      <c r="K353" t="n">
        <v>250000</v>
      </c>
    </row>
    <row r="354">
      <c r="A354" t="n">
        <v>22381</v>
      </c>
      <c r="B354" t="inlineStr">
        <is>
          <t>Menage 22381</t>
        </is>
      </c>
      <c r="C354" t="inlineStr">
        <is>
          <t>Particulier</t>
        </is>
      </c>
      <c r="D354" t="inlineStr">
        <is>
          <t>Kaya</t>
        </is>
      </c>
      <c r="E354" t="inlineStr">
        <is>
          <t>Centre-Nord</t>
        </is>
      </c>
      <c r="F354" t="inlineStr">
        <is>
          <t>+226 72 88 82 46 55</t>
        </is>
      </c>
      <c r="H354" t="inlineStr">
        <is>
          <t>2024-07-19</t>
        </is>
      </c>
      <c r="I354" t="inlineStr">
        <is>
          <t>Or</t>
        </is>
      </c>
      <c r="J354" t="inlineStr">
        <is>
          <t>Comptant</t>
        </is>
      </c>
      <c r="K354" t="n">
        <v>5000000</v>
      </c>
    </row>
    <row r="355">
      <c r="A355" t="n">
        <v>22495</v>
      </c>
      <c r="B355" t="inlineStr">
        <is>
          <t>Menage 22495</t>
        </is>
      </c>
      <c r="C355" t="inlineStr">
        <is>
          <t>Particulier</t>
        </is>
      </c>
      <c r="D355" t="inlineStr">
        <is>
          <t>Ouagadougou</t>
        </is>
      </c>
      <c r="E355" t="inlineStr">
        <is>
          <t>Centre</t>
        </is>
      </c>
      <c r="F355" t="inlineStr">
        <is>
          <t>+226 72 68 31 76 34</t>
        </is>
      </c>
      <c r="H355" t="inlineStr">
        <is>
          <t>2016-09-16</t>
        </is>
      </c>
      <c r="I355" t="inlineStr">
        <is>
          <t>Standard</t>
        </is>
      </c>
      <c r="J355" t="inlineStr">
        <is>
          <t>Comptant</t>
        </is>
      </c>
      <c r="K355" t="n">
        <v>500000</v>
      </c>
    </row>
    <row r="356">
      <c r="A356" t="n">
        <v>22509</v>
      </c>
      <c r="B356" t="inlineStr">
        <is>
          <t>Societe r</t>
        </is>
      </c>
      <c r="C356" t="inlineStr">
        <is>
          <t>Professionnel</t>
        </is>
      </c>
      <c r="D356" t="inlineStr">
        <is>
          <t>Ouagadougou</t>
        </is>
      </c>
      <c r="E356" t="inlineStr">
        <is>
          <t>Centre</t>
        </is>
      </c>
      <c r="F356" t="inlineStr">
        <is>
          <t>+226 74 76 58 53 19</t>
        </is>
      </c>
      <c r="G356" t="inlineStr">
        <is>
          <t>contact22509@entreprise.bf</t>
        </is>
      </c>
      <c r="H356" t="inlineStr">
        <is>
          <t>2022-05-20</t>
        </is>
      </c>
      <c r="I356" t="inlineStr">
        <is>
          <t>Argent</t>
        </is>
      </c>
      <c r="J356" t="inlineStr">
        <is>
          <t>Comptant</t>
        </is>
      </c>
      <c r="K356" t="n">
        <v>250000</v>
      </c>
    </row>
    <row r="357">
      <c r="A357" t="n">
        <v>22512</v>
      </c>
      <c r="B357" t="inlineStr">
        <is>
          <t>SARL a</t>
        </is>
      </c>
      <c r="C357" t="inlineStr">
        <is>
          <t>Entreprise</t>
        </is>
      </c>
      <c r="D357" t="inlineStr">
        <is>
          <t>Ouagadougou</t>
        </is>
      </c>
      <c r="E357" t="inlineStr">
        <is>
          <t>Centre</t>
        </is>
      </c>
      <c r="F357" t="inlineStr">
        <is>
          <t>+226 73 44 25 75 85</t>
        </is>
      </c>
      <c r="H357" t="inlineStr">
        <is>
          <t>2022-06-17</t>
        </is>
      </c>
      <c r="I357" t="inlineStr">
        <is>
          <t>Standard</t>
        </is>
      </c>
      <c r="J357" t="inlineStr">
        <is>
          <t>Comptant</t>
        </is>
      </c>
      <c r="K357" t="n">
        <v>0</v>
      </c>
    </row>
    <row r="358">
      <c r="A358" t="n">
        <v>22552</v>
      </c>
      <c r="B358" t="inlineStr">
        <is>
          <t>SARL a</t>
        </is>
      </c>
      <c r="C358" t="inlineStr">
        <is>
          <t>Entreprise</t>
        </is>
      </c>
      <c r="D358" t="inlineStr">
        <is>
          <t>Ziniaré</t>
        </is>
      </c>
      <c r="E358" t="inlineStr">
        <is>
          <t>Plateau-Central</t>
        </is>
      </c>
      <c r="F358" t="inlineStr">
        <is>
          <t>+226 71 77 83 82 59</t>
        </is>
      </c>
      <c r="G358" t="inlineStr">
        <is>
          <t>contact22552@yahoo.fr</t>
        </is>
      </c>
      <c r="H358" t="inlineStr">
        <is>
          <t>2024-09-15</t>
        </is>
      </c>
      <c r="I358" t="inlineStr">
        <is>
          <t>Argent</t>
        </is>
      </c>
      <c r="J358" t="inlineStr">
        <is>
          <t>30 j</t>
        </is>
      </c>
      <c r="K358" t="n">
        <v>1500000</v>
      </c>
    </row>
    <row r="359">
      <c r="A359" t="n">
        <v>22573</v>
      </c>
      <c r="B359" t="inlineStr">
        <is>
          <t>Societe l</t>
        </is>
      </c>
      <c r="C359" t="inlineStr">
        <is>
          <t>Administration</t>
        </is>
      </c>
      <c r="D359" t="inlineStr">
        <is>
          <t>Ziniaré</t>
        </is>
      </c>
      <c r="E359" t="inlineStr">
        <is>
          <t>Plateau-Central</t>
        </is>
      </c>
      <c r="F359" t="inlineStr">
        <is>
          <t>+226 77 27 39 91 50</t>
        </is>
      </c>
      <c r="H359" t="inlineStr">
        <is>
          <t>2021-05-28</t>
        </is>
      </c>
      <c r="I359" t="inlineStr">
        <is>
          <t>Standard</t>
        </is>
      </c>
      <c r="J359" t="inlineStr">
        <is>
          <t>30 j</t>
        </is>
      </c>
      <c r="K359" t="n">
        <v>0</v>
      </c>
    </row>
    <row r="360">
      <c r="A360" t="n">
        <v>22579</v>
      </c>
      <c r="B360" t="inlineStr">
        <is>
          <t>Menage 22579</t>
        </is>
      </c>
      <c r="C360" t="inlineStr">
        <is>
          <t>Particulier</t>
        </is>
      </c>
      <c r="D360" t="inlineStr">
        <is>
          <t>Koudougou</t>
        </is>
      </c>
      <c r="E360" t="inlineStr">
        <is>
          <t>Centre-Ouest</t>
        </is>
      </c>
      <c r="F360" t="inlineStr">
        <is>
          <t>+226 79 54 67 86 86</t>
        </is>
      </c>
      <c r="H360" t="inlineStr">
        <is>
          <t>2021-04-26</t>
        </is>
      </c>
      <c r="I360" t="inlineStr">
        <is>
          <t>Standard</t>
        </is>
      </c>
      <c r="J360" t="inlineStr">
        <is>
          <t>Comptant</t>
        </is>
      </c>
      <c r="K360" t="n">
        <v>1500000</v>
      </c>
    </row>
    <row r="361">
      <c r="A361" t="n">
        <v>22643</v>
      </c>
      <c r="B361" t="inlineStr">
        <is>
          <t>SARL k</t>
        </is>
      </c>
      <c r="C361" t="inlineStr">
        <is>
          <t>Professionnel</t>
        </is>
      </c>
      <c r="D361" t="inlineStr">
        <is>
          <t>Ziniaré</t>
        </is>
      </c>
      <c r="E361" t="inlineStr">
        <is>
          <t>Plateau-Central</t>
        </is>
      </c>
      <c r="F361" t="inlineStr">
        <is>
          <t>+226 75 76 59 44 69</t>
        </is>
      </c>
      <c r="G361" t="inlineStr">
        <is>
          <t>contact22643@outlook.fr</t>
        </is>
      </c>
      <c r="H361" t="inlineStr">
        <is>
          <t>2018-07-31</t>
        </is>
      </c>
      <c r="I361" t="inlineStr">
        <is>
          <t>Argent</t>
        </is>
      </c>
      <c r="J361" t="inlineStr">
        <is>
          <t>30 j</t>
        </is>
      </c>
      <c r="K361" t="n">
        <v>0</v>
      </c>
    </row>
    <row r="362">
      <c r="A362" t="n">
        <v>22782</v>
      </c>
      <c r="B362" t="inlineStr">
        <is>
          <t>Menage 22782</t>
        </is>
      </c>
      <c r="C362" t="inlineStr">
        <is>
          <t>Particulier</t>
        </is>
      </c>
      <c r="D362" t="inlineStr">
        <is>
          <t>Koudougou</t>
        </is>
      </c>
      <c r="E362" t="inlineStr">
        <is>
          <t>Centre-Ouest</t>
        </is>
      </c>
      <c r="F362" t="inlineStr">
        <is>
          <t>+226 73 32 82 48 80</t>
        </is>
      </c>
      <c r="H362" t="inlineStr">
        <is>
          <t>2020-04-04</t>
        </is>
      </c>
      <c r="I362" t="inlineStr">
        <is>
          <t>Or</t>
        </is>
      </c>
      <c r="J362" t="inlineStr">
        <is>
          <t>60 j</t>
        </is>
      </c>
      <c r="K362" t="n">
        <v>0</v>
      </c>
    </row>
    <row r="363">
      <c r="A363" t="n">
        <v>22824</v>
      </c>
      <c r="B363" t="inlineStr">
        <is>
          <t>Societe r</t>
        </is>
      </c>
      <c r="C363" t="inlineStr">
        <is>
          <t>Professionnel</t>
        </is>
      </c>
      <c r="D363" t="inlineStr">
        <is>
          <t>Bobo-Dioulasso</t>
        </is>
      </c>
      <c r="E363" t="inlineStr">
        <is>
          <t>Hauts-Bassins</t>
        </is>
      </c>
      <c r="F363" t="inlineStr">
        <is>
          <t>+226 70 48 61 38 30</t>
        </is>
      </c>
      <c r="G363" t="inlineStr">
        <is>
          <t>contact22824@outlook.fr</t>
        </is>
      </c>
      <c r="H363" t="inlineStr">
        <is>
          <t>2016-01-07</t>
        </is>
      </c>
      <c r="I363" t="inlineStr">
        <is>
          <t>Argent</t>
        </is>
      </c>
      <c r="J363" t="inlineStr">
        <is>
          <t>30 j</t>
        </is>
      </c>
      <c r="K363" t="n">
        <v>500000</v>
      </c>
    </row>
    <row r="364">
      <c r="A364" t="n">
        <v>22897</v>
      </c>
      <c r="B364" t="inlineStr">
        <is>
          <t>Societe o</t>
        </is>
      </c>
      <c r="C364" t="inlineStr">
        <is>
          <t>Professionnel</t>
        </is>
      </c>
      <c r="D364" t="inlineStr">
        <is>
          <t>Ziniaré</t>
        </is>
      </c>
      <c r="E364" t="inlineStr">
        <is>
          <t>Plateau-Central</t>
        </is>
      </c>
      <c r="F364" t="inlineStr">
        <is>
          <t>+226 79 24 43 39 84</t>
        </is>
      </c>
      <c r="H364" t="inlineStr">
        <is>
          <t>2017-11-04</t>
        </is>
      </c>
      <c r="I364" t="inlineStr">
        <is>
          <t>Standard</t>
        </is>
      </c>
      <c r="J364" t="inlineStr">
        <is>
          <t>Comptant</t>
        </is>
      </c>
      <c r="K364" t="n">
        <v>500000</v>
      </c>
    </row>
    <row r="365">
      <c r="A365" t="n">
        <v>22901</v>
      </c>
      <c r="B365" t="inlineStr">
        <is>
          <t>Ets a</t>
        </is>
      </c>
      <c r="C365" t="inlineStr">
        <is>
          <t>Entreprise</t>
        </is>
      </c>
      <c r="D365" t="inlineStr">
        <is>
          <t>Koudougou</t>
        </is>
      </c>
      <c r="E365" t="inlineStr">
        <is>
          <t>Centre-Ouest</t>
        </is>
      </c>
      <c r="F365" t="inlineStr">
        <is>
          <t>+226 76 56 51 49 32</t>
        </is>
      </c>
      <c r="G365" t="inlineStr">
        <is>
          <t>contact22901@entreprise.bf</t>
        </is>
      </c>
      <c r="H365" t="inlineStr">
        <is>
          <t>2016-02-02</t>
        </is>
      </c>
      <c r="I365" t="inlineStr">
        <is>
          <t>Argent</t>
        </is>
      </c>
      <c r="J365" t="inlineStr">
        <is>
          <t>30 j</t>
        </is>
      </c>
      <c r="K365" t="n">
        <v>0</v>
      </c>
    </row>
    <row r="366">
      <c r="A366" t="n">
        <v>22946</v>
      </c>
      <c r="B366" t="inlineStr">
        <is>
          <t>Menage 22946</t>
        </is>
      </c>
      <c r="C366" t="inlineStr">
        <is>
          <t>Particulier</t>
        </is>
      </c>
      <c r="D366" t="inlineStr">
        <is>
          <t>Ouagadougou</t>
        </is>
      </c>
      <c r="E366" t="inlineStr">
        <is>
          <t>Centre</t>
        </is>
      </c>
      <c r="F366" t="inlineStr">
        <is>
          <t>+226 72 51 18 74 61</t>
        </is>
      </c>
      <c r="H366" t="inlineStr">
        <is>
          <t>2019-04-18</t>
        </is>
      </c>
      <c r="I366" t="inlineStr">
        <is>
          <t>Argent</t>
        </is>
      </c>
      <c r="J366" t="inlineStr">
        <is>
          <t>30 j</t>
        </is>
      </c>
      <c r="K366" t="n">
        <v>0</v>
      </c>
    </row>
    <row r="367">
      <c r="A367" t="n">
        <v>23136</v>
      </c>
      <c r="B367" t="inlineStr">
        <is>
          <t>Menage 23136</t>
        </is>
      </c>
      <c r="C367" t="inlineStr">
        <is>
          <t>Particulier</t>
        </is>
      </c>
      <c r="D367" t="inlineStr">
        <is>
          <t>Kaya</t>
        </is>
      </c>
      <c r="E367" t="inlineStr">
        <is>
          <t>Centre-Nord</t>
        </is>
      </c>
      <c r="F367" t="inlineStr">
        <is>
          <t>+226 77 79 97 62 41</t>
        </is>
      </c>
      <c r="H367" t="inlineStr">
        <is>
          <t>2025-03-28</t>
        </is>
      </c>
      <c r="I367" t="inlineStr">
        <is>
          <t>Argent</t>
        </is>
      </c>
      <c r="J367" t="inlineStr">
        <is>
          <t>Comptant</t>
        </is>
      </c>
      <c r="K367" t="n">
        <v>250000</v>
      </c>
    </row>
    <row r="368">
      <c r="A368" t="n">
        <v>23188</v>
      </c>
      <c r="B368" t="inlineStr">
        <is>
          <t>Menage 23188</t>
        </is>
      </c>
      <c r="C368" t="inlineStr">
        <is>
          <t>Particulier</t>
        </is>
      </c>
      <c r="D368" t="inlineStr">
        <is>
          <t>Ziniaré</t>
        </is>
      </c>
      <c r="E368" t="inlineStr">
        <is>
          <t>Plateau-Central</t>
        </is>
      </c>
      <c r="F368" t="inlineStr">
        <is>
          <t>+226 74 39 21 57 40</t>
        </is>
      </c>
      <c r="H368" t="inlineStr">
        <is>
          <t>2025-03-25</t>
        </is>
      </c>
      <c r="I368" t="inlineStr">
        <is>
          <t>Argent</t>
        </is>
      </c>
      <c r="J368" t="inlineStr">
        <is>
          <t>Comptant</t>
        </is>
      </c>
      <c r="K368" t="n">
        <v>1500000</v>
      </c>
    </row>
    <row r="369">
      <c r="A369" t="n">
        <v>23278</v>
      </c>
      <c r="B369" t="inlineStr">
        <is>
          <t>Societe d</t>
        </is>
      </c>
      <c r="C369" t="inlineStr">
        <is>
          <t>Administration</t>
        </is>
      </c>
      <c r="D369" t="inlineStr">
        <is>
          <t>Kaya</t>
        </is>
      </c>
      <c r="E369" t="inlineStr">
        <is>
          <t>Centre-Nord</t>
        </is>
      </c>
      <c r="F369" t="inlineStr">
        <is>
          <t>+226 72 82 86 92 96</t>
        </is>
      </c>
      <c r="G369" t="inlineStr">
        <is>
          <t>contact23278@yahoo.fr</t>
        </is>
      </c>
      <c r="H369" t="inlineStr">
        <is>
          <t>2025-01-21</t>
        </is>
      </c>
      <c r="I369" t="inlineStr">
        <is>
          <t>Standard</t>
        </is>
      </c>
      <c r="J369" t="inlineStr">
        <is>
          <t>Comptant</t>
        </is>
      </c>
      <c r="K369" t="n">
        <v>500000</v>
      </c>
    </row>
    <row r="370">
      <c r="A370" t="n">
        <v>23312</v>
      </c>
      <c r="B370" t="inlineStr">
        <is>
          <t>Menage 23312</t>
        </is>
      </c>
      <c r="C370" t="inlineStr">
        <is>
          <t>Particulier</t>
        </is>
      </c>
      <c r="D370" t="inlineStr">
        <is>
          <t>Ouagadougou</t>
        </is>
      </c>
      <c r="E370" t="inlineStr">
        <is>
          <t>Centre</t>
        </is>
      </c>
      <c r="F370" t="inlineStr">
        <is>
          <t>+226 79 99 80 22 80</t>
        </is>
      </c>
      <c r="H370" t="inlineStr">
        <is>
          <t>2021-02-27</t>
        </is>
      </c>
      <c r="I370" t="inlineStr">
        <is>
          <t>Argent</t>
        </is>
      </c>
      <c r="J370" t="inlineStr">
        <is>
          <t>Comptant</t>
        </is>
      </c>
      <c r="K370" t="n">
        <v>5000000</v>
      </c>
    </row>
    <row r="371">
      <c r="A371" t="n">
        <v>23455</v>
      </c>
      <c r="B371" t="inlineStr">
        <is>
          <t>Ets l</t>
        </is>
      </c>
      <c r="C371" t="inlineStr">
        <is>
          <t>Entreprise</t>
        </is>
      </c>
      <c r="D371" t="inlineStr">
        <is>
          <t>Bobo-Dioulasso</t>
        </is>
      </c>
      <c r="E371" t="inlineStr">
        <is>
          <t>Hauts-Bassins</t>
        </is>
      </c>
      <c r="F371" t="inlineStr">
        <is>
          <t>+226 75 28 10 63 81</t>
        </is>
      </c>
      <c r="H371" t="inlineStr">
        <is>
          <t>2025-03-11</t>
        </is>
      </c>
      <c r="I371" t="inlineStr">
        <is>
          <t>Standard</t>
        </is>
      </c>
      <c r="J371" t="inlineStr">
        <is>
          <t>Comptant</t>
        </is>
      </c>
      <c r="K371" t="n">
        <v>500000</v>
      </c>
    </row>
    <row r="372">
      <c r="A372" t="n">
        <v>23479</v>
      </c>
      <c r="B372" t="inlineStr">
        <is>
          <t>Menage 23479</t>
        </is>
      </c>
      <c r="C372" t="inlineStr">
        <is>
          <t>Particulier</t>
        </is>
      </c>
      <c r="D372" t="inlineStr">
        <is>
          <t>Bobo-Dioulasso</t>
        </is>
      </c>
      <c r="E372" t="inlineStr">
        <is>
          <t>Hauts-Bassins</t>
        </is>
      </c>
      <c r="F372" t="inlineStr">
        <is>
          <t>+226 73 46 61 72 56</t>
        </is>
      </c>
      <c r="H372" t="inlineStr">
        <is>
          <t>2025-01-25</t>
        </is>
      </c>
      <c r="I372" t="inlineStr">
        <is>
          <t>Standard</t>
        </is>
      </c>
      <c r="J372" t="inlineStr">
        <is>
          <t>60 j</t>
        </is>
      </c>
      <c r="K372" t="n">
        <v>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2" customWidth="1" min="8" max="8"/>
    <col width="12" customWidth="1" min="9" max="9"/>
  </cols>
  <sheetData>
    <row r="1">
      <c r="A1" s="3" t="inlineStr">
        <is>
          <t>id_magasin</t>
        </is>
      </c>
      <c r="B1" s="3" t="inlineStr">
        <is>
          <t>nom</t>
        </is>
      </c>
      <c r="C1" s="3" t="inlineStr">
        <is>
          <t>ville</t>
        </is>
      </c>
      <c r="D1" s="3" t="inlineStr">
        <is>
          <t>quartier</t>
        </is>
      </c>
      <c r="E1" s="3" t="inlineStr">
        <is>
          <t>region</t>
        </is>
      </c>
      <c r="F1" s="3" t="inlineStr">
        <is>
          <t>type_magasin</t>
        </is>
      </c>
      <c r="G1" s="3" t="inlineStr">
        <is>
          <t>surface_m2</t>
        </is>
      </c>
      <c r="H1" s="3" t="inlineStr">
        <is>
          <t>responsable</t>
        </is>
      </c>
      <c r="I1" s="3" t="inlineStr">
        <is>
          <t>ouverture</t>
        </is>
      </c>
    </row>
    <row r="2">
      <c r="A2" t="n">
        <v>1</v>
      </c>
      <c r="B2" t="inlineStr">
        <is>
          <t>Sahel Distribution — Ouaga 2000</t>
        </is>
      </c>
      <c r="C2" t="inlineStr">
        <is>
          <t>Ouagadougou</t>
        </is>
      </c>
      <c r="D2" t="inlineStr">
        <is>
          <t>Ouaga 2000</t>
        </is>
      </c>
      <c r="E2" t="inlineStr">
        <is>
          <t>Centre</t>
        </is>
      </c>
      <c r="F2" t="inlineStr">
        <is>
          <t>Magasin</t>
        </is>
      </c>
      <c r="G2" t="n">
        <v>1450</v>
      </c>
      <c r="H2" t="inlineStr">
        <is>
          <t>A. Zongo</t>
        </is>
      </c>
      <c r="I2" t="inlineStr">
        <is>
          <t>2016-03-01</t>
        </is>
      </c>
    </row>
    <row r="3">
      <c r="A3" t="n">
        <v>2</v>
      </c>
      <c r="B3" t="inlineStr">
        <is>
          <t>Sahel Distribution — Gounghin</t>
        </is>
      </c>
      <c r="C3" t="inlineStr">
        <is>
          <t>Ouagadougou</t>
        </is>
      </c>
      <c r="D3" t="inlineStr">
        <is>
          <t>Gounghin</t>
        </is>
      </c>
      <c r="E3" t="inlineStr">
        <is>
          <t>Centre</t>
        </is>
      </c>
      <c r="F3" t="inlineStr">
        <is>
          <t>Magasin</t>
        </is>
      </c>
      <c r="G3" t="n">
        <v>900</v>
      </c>
      <c r="H3" t="inlineStr">
        <is>
          <t>F. Kaboré</t>
        </is>
      </c>
      <c r="I3" t="inlineStr">
        <is>
          <t>2018-09-15</t>
        </is>
      </c>
    </row>
    <row r="4">
      <c r="A4" t="n">
        <v>3</v>
      </c>
      <c r="B4" t="inlineStr">
        <is>
          <t>Sahel Distribution — Bobo Kibidwé</t>
        </is>
      </c>
      <c r="C4" t="inlineStr">
        <is>
          <t>Bobo-Dioulasso</t>
        </is>
      </c>
      <c r="D4" t="inlineStr">
        <is>
          <t>Kibidwé</t>
        </is>
      </c>
      <c r="E4" t="inlineStr">
        <is>
          <t>Hauts-Bassins</t>
        </is>
      </c>
      <c r="F4" t="inlineStr">
        <is>
          <t>Magasin</t>
        </is>
      </c>
      <c r="G4" t="n">
        <v>1100</v>
      </c>
      <c r="H4" t="inlineStr">
        <is>
          <t>S. Sanou</t>
        </is>
      </c>
      <c r="I4" t="inlineStr">
        <is>
          <t>2017-06-01</t>
        </is>
      </c>
    </row>
    <row r="5">
      <c r="A5" t="n">
        <v>4</v>
      </c>
      <c r="B5" t="inlineStr">
        <is>
          <t>Sahel Distribution — Koudougou Centre</t>
        </is>
      </c>
      <c r="C5" t="inlineStr">
        <is>
          <t>Koudougou</t>
        </is>
      </c>
      <c r="D5" t="inlineStr">
        <is>
          <t>Pole</t>
        </is>
      </c>
      <c r="E5" t="inlineStr">
        <is>
          <t>Centre-Ouest</t>
        </is>
      </c>
      <c r="F5" t="inlineStr">
        <is>
          <t>Magasin</t>
        </is>
      </c>
      <c r="G5" t="n">
        <v>650</v>
      </c>
      <c r="H5" t="inlineStr">
        <is>
          <t>R. Ouédraogo</t>
        </is>
      </c>
      <c r="I5" t="inlineStr">
        <is>
          <t>2020-02-10</t>
        </is>
      </c>
    </row>
    <row r="6">
      <c r="A6" t="n">
        <v>5</v>
      </c>
      <c r="B6" t="inlineStr">
        <is>
          <t>Sahel Distribution — Kaya Marché</t>
        </is>
      </c>
      <c r="C6" t="inlineStr">
        <is>
          <t>Kaya</t>
        </is>
      </c>
      <c r="D6" t="inlineStr">
        <is>
          <t>Marché</t>
        </is>
      </c>
      <c r="E6" t="inlineStr">
        <is>
          <t>Centre-Nord</t>
        </is>
      </c>
      <c r="F6" t="inlineStr">
        <is>
          <t>Magasin</t>
        </is>
      </c>
      <c r="G6" t="n">
        <v>520</v>
      </c>
      <c r="H6" t="inlineStr">
        <is>
          <t>I. Traoré</t>
        </is>
      </c>
      <c r="I6" t="inlineStr">
        <is>
          <t>2021-11-05</t>
        </is>
      </c>
    </row>
    <row r="7">
      <c r="A7" t="n">
        <v>6</v>
      </c>
      <c r="B7" t="inlineStr">
        <is>
          <t>Dépôt central — Zogona</t>
        </is>
      </c>
      <c r="C7" t="inlineStr">
        <is>
          <t>Ouagadougou</t>
        </is>
      </c>
      <c r="D7" t="inlineStr">
        <is>
          <t>Zogona</t>
        </is>
      </c>
      <c r="E7" t="inlineStr">
        <is>
          <t>Centre</t>
        </is>
      </c>
      <c r="F7" t="inlineStr">
        <is>
          <t>Dépôt</t>
        </is>
      </c>
      <c r="G7" t="n">
        <v>3200</v>
      </c>
      <c r="H7" t="inlineStr">
        <is>
          <t>M. Compaoré</t>
        </is>
      </c>
      <c r="I7" t="inlineStr">
        <is>
          <t>2015-01-12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2" customWidth="1" min="8" max="8"/>
    <col width="12" customWidth="1" min="9" max="9"/>
  </cols>
  <sheetData>
    <row r="1">
      <c r="A1" s="3" t="inlineStr">
        <is>
          <t>id_vendeur</t>
        </is>
      </c>
      <c r="B1" s="3" t="inlineStr">
        <is>
          <t>nom_complet</t>
        </is>
      </c>
      <c r="C1" s="3" t="inlineStr">
        <is>
          <t>id_magasin</t>
        </is>
      </c>
      <c r="D1" s="3" t="inlineStr">
        <is>
          <t>date_embauche</t>
        </is>
      </c>
      <c r="E1" s="3" t="inlineStr">
        <is>
          <t>statut</t>
        </is>
      </c>
      <c r="F1" s="3" t="inlineStr">
        <is>
          <t>secteur_vente</t>
        </is>
      </c>
    </row>
    <row r="2">
      <c r="A2" t="n">
        <v>1</v>
      </c>
      <c r="B2" t="inlineStr">
        <is>
          <t>Awa Zongo</t>
        </is>
      </c>
      <c r="C2" t="n">
        <v>2</v>
      </c>
      <c r="D2" t="inlineStr">
        <is>
          <t>2019-08-11</t>
        </is>
      </c>
      <c r="E2" t="inlineStr">
        <is>
          <t>Titulaire</t>
        </is>
      </c>
      <c r="F2" t="inlineStr">
        <is>
          <t>Comptoir</t>
        </is>
      </c>
    </row>
    <row r="3">
      <c r="A3" t="n">
        <v>2</v>
      </c>
      <c r="B3" t="inlineStr">
        <is>
          <t>Issa Kaboré</t>
        </is>
      </c>
      <c r="C3" t="n">
        <v>3</v>
      </c>
      <c r="D3" t="inlineStr">
        <is>
          <t>2018-07-03</t>
        </is>
      </c>
      <c r="E3" t="inlineStr">
        <is>
          <t>Titulaire</t>
        </is>
      </c>
      <c r="F3" t="inlineStr">
        <is>
          <t>Comptoir</t>
        </is>
      </c>
    </row>
    <row r="4">
      <c r="A4" t="n">
        <v>3</v>
      </c>
      <c r="B4" t="inlineStr">
        <is>
          <t>Fatoumata Sanou</t>
        </is>
      </c>
      <c r="C4" t="n">
        <v>4</v>
      </c>
      <c r="D4" t="inlineStr">
        <is>
          <t>2022-06-21</t>
        </is>
      </c>
      <c r="E4" t="inlineStr">
        <is>
          <t>Titulaire</t>
        </is>
      </c>
      <c r="F4" t="inlineStr">
        <is>
          <t>Comptoir</t>
        </is>
      </c>
    </row>
    <row r="5">
      <c r="A5" t="n">
        <v>4</v>
      </c>
      <c r="B5" t="inlineStr">
        <is>
          <t>Boureima Ouédraogo</t>
        </is>
      </c>
      <c r="C5" t="n">
        <v>5</v>
      </c>
      <c r="D5" t="inlineStr">
        <is>
          <t>2021-02-09</t>
        </is>
      </c>
      <c r="E5" t="inlineStr">
        <is>
          <t>CDD</t>
        </is>
      </c>
      <c r="F5" t="inlineStr">
        <is>
          <t>Itinérant</t>
        </is>
      </c>
    </row>
    <row r="6">
      <c r="A6" t="n">
        <v>5</v>
      </c>
      <c r="B6" t="inlineStr">
        <is>
          <t>Salif Traoré</t>
        </is>
      </c>
      <c r="C6" t="n">
        <v>1</v>
      </c>
      <c r="D6" t="inlineStr">
        <is>
          <t>2017-07-04</t>
        </is>
      </c>
      <c r="E6" t="inlineStr">
        <is>
          <t>Titulaire</t>
        </is>
      </c>
      <c r="F6" t="inlineStr">
        <is>
          <t>Itinérant</t>
        </is>
      </c>
    </row>
    <row r="7">
      <c r="A7" t="n">
        <v>6</v>
      </c>
      <c r="B7" t="inlineStr">
        <is>
          <t>Mariam Compaoré</t>
        </is>
      </c>
      <c r="C7" t="n">
        <v>2</v>
      </c>
      <c r="D7" t="inlineStr">
        <is>
          <t>2019-12-21</t>
        </is>
      </c>
      <c r="E7" t="inlineStr">
        <is>
          <t>Titulaire</t>
        </is>
      </c>
      <c r="F7" t="inlineStr">
        <is>
          <t>Itinérant</t>
        </is>
      </c>
    </row>
    <row r="8">
      <c r="A8" t="n">
        <v>7</v>
      </c>
      <c r="B8" t="inlineStr">
        <is>
          <t>Karim Sawadogo</t>
        </is>
      </c>
      <c r="C8" t="n">
        <v>3</v>
      </c>
      <c r="D8" t="inlineStr">
        <is>
          <t>2020-05-31</t>
        </is>
      </c>
      <c r="E8" t="inlineStr">
        <is>
          <t>Titulaire</t>
        </is>
      </c>
      <c r="F8" t="inlineStr">
        <is>
          <t>Itinérant</t>
        </is>
      </c>
    </row>
    <row r="9">
      <c r="A9" t="n">
        <v>8</v>
      </c>
      <c r="B9" t="inlineStr">
        <is>
          <t>Rasmata Diallo</t>
        </is>
      </c>
      <c r="C9" t="n">
        <v>4</v>
      </c>
      <c r="D9" t="inlineStr">
        <is>
          <t>2018-06-14</t>
        </is>
      </c>
      <c r="E9" t="inlineStr">
        <is>
          <t>Titulaire</t>
        </is>
      </c>
      <c r="F9" t="inlineStr">
        <is>
          <t>Itinérant</t>
        </is>
      </c>
    </row>
    <row r="10">
      <c r="A10" t="n">
        <v>9</v>
      </c>
      <c r="B10" t="inlineStr">
        <is>
          <t>Adama Bationo</t>
        </is>
      </c>
      <c r="C10" t="n">
        <v>5</v>
      </c>
      <c r="D10" t="inlineStr">
        <is>
          <t>2016-07-28</t>
        </is>
      </c>
      <c r="E10" t="inlineStr">
        <is>
          <t>Titulaire</t>
        </is>
      </c>
      <c r="F10" t="inlineStr">
        <is>
          <t>Itinérant</t>
        </is>
      </c>
    </row>
    <row r="11">
      <c r="A11" t="n">
        <v>10</v>
      </c>
      <c r="B11" t="inlineStr">
        <is>
          <t>Safiatou Nikiéma</t>
        </is>
      </c>
      <c r="C11" t="n">
        <v>1</v>
      </c>
      <c r="D11" t="inlineStr">
        <is>
          <t>2020-05-02</t>
        </is>
      </c>
      <c r="E11" t="inlineStr">
        <is>
          <t>Titulaire</t>
        </is>
      </c>
      <c r="F11" t="inlineStr">
        <is>
          <t>Comptoir</t>
        </is>
      </c>
    </row>
    <row r="12">
      <c r="A12" t="n">
        <v>11</v>
      </c>
      <c r="B12" t="inlineStr">
        <is>
          <t>Boukary Ouattara</t>
        </is>
      </c>
      <c r="C12" t="n">
        <v>2</v>
      </c>
      <c r="D12" t="inlineStr">
        <is>
          <t>2019-05-20</t>
        </is>
      </c>
      <c r="E12" t="inlineStr">
        <is>
          <t>Titulaire</t>
        </is>
      </c>
      <c r="F12" t="inlineStr">
        <is>
          <t>Comptoir</t>
        </is>
      </c>
    </row>
    <row r="13">
      <c r="A13" t="n">
        <v>12</v>
      </c>
      <c r="B13" t="inlineStr">
        <is>
          <t>Alizéta Tapsoba</t>
        </is>
      </c>
      <c r="C13" t="n">
        <v>3</v>
      </c>
      <c r="D13" t="inlineStr">
        <is>
          <t>2016-07-01</t>
        </is>
      </c>
      <c r="E13" t="inlineStr">
        <is>
          <t>CDD</t>
        </is>
      </c>
      <c r="F13" t="inlineStr">
        <is>
          <t>Comptoir</t>
        </is>
      </c>
    </row>
    <row r="14">
      <c r="A14" t="n">
        <v>13</v>
      </c>
      <c r="B14" t="inlineStr">
        <is>
          <t>Wendpanga Kabré</t>
        </is>
      </c>
      <c r="C14" t="n">
        <v>4</v>
      </c>
      <c r="D14" t="inlineStr">
        <is>
          <t>2018-11-20</t>
        </is>
      </c>
      <c r="E14" t="inlineStr">
        <is>
          <t>Titulaire</t>
        </is>
      </c>
      <c r="F14" t="inlineStr">
        <is>
          <t>Comptoir</t>
        </is>
      </c>
    </row>
    <row r="15">
      <c r="A15" t="n">
        <v>14</v>
      </c>
      <c r="B15" t="inlineStr">
        <is>
          <t>Salamatu Sankara</t>
        </is>
      </c>
      <c r="C15" t="n">
        <v>5</v>
      </c>
      <c r="D15" t="inlineStr">
        <is>
          <t>2022-08-06</t>
        </is>
      </c>
      <c r="E15" t="inlineStr">
        <is>
          <t>Titulaire</t>
        </is>
      </c>
      <c r="F15" t="inlineStr">
        <is>
          <t>Comptoir</t>
        </is>
      </c>
    </row>
    <row r="16">
      <c r="A16" t="n">
        <v>15</v>
      </c>
      <c r="B16" t="inlineStr">
        <is>
          <t>Norgho Bonkoum</t>
        </is>
      </c>
      <c r="C16" t="n">
        <v>1</v>
      </c>
      <c r="D16" t="inlineStr">
        <is>
          <t>2018-04-12</t>
        </is>
      </c>
      <c r="E16" t="inlineStr">
        <is>
          <t>Titulaire</t>
        </is>
      </c>
      <c r="F16" t="inlineStr">
        <is>
          <t>Itinérant</t>
        </is>
      </c>
    </row>
    <row r="17">
      <c r="A17" t="n">
        <v>16</v>
      </c>
      <c r="B17" t="inlineStr">
        <is>
          <t>Kadidiatou Yaro</t>
        </is>
      </c>
      <c r="C17" t="n">
        <v>2</v>
      </c>
      <c r="D17" t="inlineStr">
        <is>
          <t>2021-04-18</t>
        </is>
      </c>
      <c r="E17" t="inlineStr">
        <is>
          <t>CDD</t>
        </is>
      </c>
      <c r="F17" t="inlineStr">
        <is>
          <t>Comptoir</t>
        </is>
      </c>
    </row>
    <row r="18">
      <c r="A18" t="n">
        <v>17</v>
      </c>
      <c r="B18" t="inlineStr">
        <is>
          <t>Etienne Guigma</t>
        </is>
      </c>
      <c r="C18" t="n">
        <v>3</v>
      </c>
      <c r="D18" t="inlineStr">
        <is>
          <t>2021-09-24</t>
        </is>
      </c>
      <c r="E18" t="inlineStr">
        <is>
          <t>Titulaire</t>
        </is>
      </c>
      <c r="F18" t="inlineStr">
        <is>
          <t>Itinérant</t>
        </is>
      </c>
    </row>
    <row r="19">
      <c r="A19" t="n">
        <v>18</v>
      </c>
      <c r="B19" t="inlineStr">
        <is>
          <t>Rokia Kinda</t>
        </is>
      </c>
      <c r="C19" t="n">
        <v>4</v>
      </c>
      <c r="D19" t="inlineStr">
        <is>
          <t>2022-09-29</t>
        </is>
      </c>
      <c r="E19" t="inlineStr">
        <is>
          <t>Titulaire</t>
        </is>
      </c>
      <c r="F19" t="inlineStr">
        <is>
          <t>Itinérant</t>
        </is>
      </c>
    </row>
    <row r="20">
      <c r="A20" t="n">
        <v>19</v>
      </c>
      <c r="B20" t="inlineStr">
        <is>
          <t>Moussa Ilboudo</t>
        </is>
      </c>
      <c r="C20" t="n">
        <v>5</v>
      </c>
      <c r="D20" t="inlineStr">
        <is>
          <t>2016-03-10</t>
        </is>
      </c>
      <c r="E20" t="inlineStr">
        <is>
          <t>Titulaire</t>
        </is>
      </c>
      <c r="F20" t="inlineStr">
        <is>
          <t>Itinérant</t>
        </is>
      </c>
    </row>
    <row r="21">
      <c r="A21" t="n">
        <v>20</v>
      </c>
      <c r="B21" t="inlineStr">
        <is>
          <t>Aïssata Barry</t>
        </is>
      </c>
      <c r="C21" t="n">
        <v>1</v>
      </c>
      <c r="D21" t="inlineStr">
        <is>
          <t>2021-10-05</t>
        </is>
      </c>
      <c r="E21" t="inlineStr">
        <is>
          <t>Titulaire</t>
        </is>
      </c>
      <c r="F21" t="inlineStr">
        <is>
          <t>Itinérant</t>
        </is>
      </c>
    </row>
    <row r="22">
      <c r="A22" t="n">
        <v>21</v>
      </c>
      <c r="B22" t="inlineStr">
        <is>
          <t>Blaise Dicko</t>
        </is>
      </c>
      <c r="C22" t="n">
        <v>2</v>
      </c>
      <c r="D22" t="inlineStr">
        <is>
          <t>2024-08-01</t>
        </is>
      </c>
      <c r="E22" t="inlineStr">
        <is>
          <t>Titulaire</t>
        </is>
      </c>
      <c r="F22" t="inlineStr">
        <is>
          <t>Comptoir</t>
        </is>
      </c>
    </row>
    <row r="23">
      <c r="A23" t="n">
        <v>22</v>
      </c>
      <c r="B23" t="inlineStr">
        <is>
          <t>Nafissatou Zoungrana</t>
        </is>
      </c>
      <c r="C23" t="n">
        <v>3</v>
      </c>
      <c r="D23" t="inlineStr">
        <is>
          <t>2018-12-13</t>
        </is>
      </c>
      <c r="E23" t="inlineStr">
        <is>
          <t>CDD</t>
        </is>
      </c>
      <c r="F23" t="inlineStr">
        <is>
          <t>Itinérant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7" customWidth="1" min="3" max="3"/>
    <col width="12" customWidth="1" min="4" max="4"/>
    <col width="16" customWidth="1" min="5" max="5"/>
    <col width="16" customWidth="1" min="6" max="6"/>
  </cols>
  <sheetData>
    <row r="1">
      <c r="A1" s="3" t="inlineStr">
        <is>
          <t>id_magasin</t>
        </is>
      </c>
      <c r="B1" s="3" t="inlineStr">
        <is>
          <t>annee</t>
        </is>
      </c>
      <c r="C1" s="3" t="inlineStr">
        <is>
          <t>mois</t>
        </is>
      </c>
      <c r="D1" s="3" t="inlineStr">
        <is>
          <t>annee_mois</t>
        </is>
      </c>
      <c r="E1" s="3" t="inlineStr">
        <is>
          <t>ca_objectif_ttc</t>
        </is>
      </c>
      <c r="F1" s="3" t="inlineStr">
        <is>
          <t>marge_objectif_pct</t>
        </is>
      </c>
    </row>
    <row r="2">
      <c r="A2" t="n">
        <v>1</v>
      </c>
      <c r="B2" t="n">
        <v>2023</v>
      </c>
      <c r="C2" t="n">
        <v>1</v>
      </c>
      <c r="D2" t="inlineStr">
        <is>
          <t>2023-01</t>
        </is>
      </c>
      <c r="E2" t="n">
        <v>45600000</v>
      </c>
      <c r="F2" t="n">
        <v>0.195</v>
      </c>
    </row>
    <row r="3">
      <c r="A3" t="n">
        <v>1</v>
      </c>
      <c r="B3" t="n">
        <v>2023</v>
      </c>
      <c r="C3" t="n">
        <v>2</v>
      </c>
      <c r="D3" t="inlineStr">
        <is>
          <t>2023-02</t>
        </is>
      </c>
      <c r="E3" t="n">
        <v>48000000</v>
      </c>
      <c r="F3" t="n">
        <v>0.197</v>
      </c>
    </row>
    <row r="4">
      <c r="A4" t="n">
        <v>1</v>
      </c>
      <c r="B4" t="n">
        <v>2023</v>
      </c>
      <c r="C4" t="n">
        <v>3</v>
      </c>
      <c r="D4" t="inlineStr">
        <is>
          <t>2023-03</t>
        </is>
      </c>
      <c r="E4" t="n">
        <v>56640000</v>
      </c>
      <c r="F4" t="n">
        <v>0.201</v>
      </c>
    </row>
    <row r="5">
      <c r="A5" t="n">
        <v>1</v>
      </c>
      <c r="B5" t="n">
        <v>2023</v>
      </c>
      <c r="C5" t="n">
        <v>4</v>
      </c>
      <c r="D5" t="inlineStr">
        <is>
          <t>2023-04</t>
        </is>
      </c>
      <c r="E5" t="n">
        <v>54720000</v>
      </c>
      <c r="F5" t="n">
        <v>0.189</v>
      </c>
    </row>
    <row r="6">
      <c r="A6" t="n">
        <v>1</v>
      </c>
      <c r="B6" t="n">
        <v>2023</v>
      </c>
      <c r="C6" t="n">
        <v>5</v>
      </c>
      <c r="D6" t="inlineStr">
        <is>
          <t>2023-05</t>
        </is>
      </c>
      <c r="E6" t="n">
        <v>44160000</v>
      </c>
      <c r="F6" t="n">
        <v>0.187</v>
      </c>
    </row>
    <row r="7">
      <c r="A7" t="n">
        <v>1</v>
      </c>
      <c r="B7" t="n">
        <v>2023</v>
      </c>
      <c r="C7" t="n">
        <v>6</v>
      </c>
      <c r="D7" t="inlineStr">
        <is>
          <t>2023-06</t>
        </is>
      </c>
      <c r="E7" t="n">
        <v>37440000</v>
      </c>
      <c r="F7" t="n">
        <v>0.189</v>
      </c>
    </row>
    <row r="8">
      <c r="A8" t="n">
        <v>1</v>
      </c>
      <c r="B8" t="n">
        <v>2023</v>
      </c>
      <c r="C8" t="n">
        <v>7</v>
      </c>
      <c r="D8" t="inlineStr">
        <is>
          <t>2023-07</t>
        </is>
      </c>
      <c r="E8" t="n">
        <v>34560000</v>
      </c>
      <c r="F8" t="n">
        <v>0.196</v>
      </c>
    </row>
    <row r="9">
      <c r="A9" t="n">
        <v>1</v>
      </c>
      <c r="B9" t="n">
        <v>2023</v>
      </c>
      <c r="C9" t="n">
        <v>8</v>
      </c>
      <c r="D9" t="inlineStr">
        <is>
          <t>2023-08</t>
        </is>
      </c>
      <c r="E9" t="n">
        <v>38400000</v>
      </c>
      <c r="F9" t="n">
        <v>0.198</v>
      </c>
    </row>
    <row r="10">
      <c r="A10" t="n">
        <v>1</v>
      </c>
      <c r="B10" t="n">
        <v>2023</v>
      </c>
      <c r="C10" t="n">
        <v>9</v>
      </c>
      <c r="D10" t="inlineStr">
        <is>
          <t>2023-09</t>
        </is>
      </c>
      <c r="E10" t="n">
        <v>48960000</v>
      </c>
      <c r="F10" t="n">
        <v>0.192</v>
      </c>
    </row>
    <row r="11">
      <c r="A11" t="n">
        <v>1</v>
      </c>
      <c r="B11" t="n">
        <v>2023</v>
      </c>
      <c r="C11" t="n">
        <v>10</v>
      </c>
      <c r="D11" t="inlineStr">
        <is>
          <t>2023-10</t>
        </is>
      </c>
      <c r="E11" t="n">
        <v>58560000</v>
      </c>
      <c r="F11" t="n">
        <v>0.187</v>
      </c>
    </row>
    <row r="12">
      <c r="A12" t="n">
        <v>1</v>
      </c>
      <c r="B12" t="n">
        <v>2023</v>
      </c>
      <c r="C12" t="n">
        <v>11</v>
      </c>
      <c r="D12" t="inlineStr">
        <is>
          <t>2023-11</t>
        </is>
      </c>
      <c r="E12" t="n">
        <v>57600000</v>
      </c>
      <c r="F12" t="n">
        <v>0.198</v>
      </c>
    </row>
    <row r="13">
      <c r="A13" t="n">
        <v>1</v>
      </c>
      <c r="B13" t="n">
        <v>2023</v>
      </c>
      <c r="C13" t="n">
        <v>12</v>
      </c>
      <c r="D13" t="inlineStr">
        <is>
          <t>2023-12</t>
        </is>
      </c>
      <c r="E13" t="n">
        <v>55680000</v>
      </c>
      <c r="F13" t="n">
        <v>0.202</v>
      </c>
    </row>
    <row r="14">
      <c r="A14" t="n">
        <v>1</v>
      </c>
      <c r="B14" t="n">
        <v>2024</v>
      </c>
      <c r="C14" t="n">
        <v>1</v>
      </c>
      <c r="D14" t="inlineStr">
        <is>
          <t>2024-01</t>
        </is>
      </c>
      <c r="E14" t="n">
        <v>49480000</v>
      </c>
      <c r="F14" t="n">
        <v>0.188</v>
      </c>
    </row>
    <row r="15">
      <c r="A15" t="n">
        <v>1</v>
      </c>
      <c r="B15" t="n">
        <v>2024</v>
      </c>
      <c r="C15" t="n">
        <v>2</v>
      </c>
      <c r="D15" t="inlineStr">
        <is>
          <t>2024-02</t>
        </is>
      </c>
      <c r="E15" t="n">
        <v>52080000</v>
      </c>
      <c r="F15" t="n">
        <v>0.191</v>
      </c>
    </row>
    <row r="16">
      <c r="A16" t="n">
        <v>1</v>
      </c>
      <c r="B16" t="n">
        <v>2024</v>
      </c>
      <c r="C16" t="n">
        <v>3</v>
      </c>
      <c r="D16" t="inlineStr">
        <is>
          <t>2024-03</t>
        </is>
      </c>
      <c r="E16" t="n">
        <v>61450000</v>
      </c>
      <c r="F16" t="n">
        <v>0.193</v>
      </c>
    </row>
    <row r="17">
      <c r="A17" t="n">
        <v>1</v>
      </c>
      <c r="B17" t="n">
        <v>2024</v>
      </c>
      <c r="C17" t="n">
        <v>4</v>
      </c>
      <c r="D17" t="inlineStr">
        <is>
          <t>2024-04</t>
        </is>
      </c>
      <c r="E17" t="n">
        <v>59370000</v>
      </c>
      <c r="F17" t="n">
        <v>0.201</v>
      </c>
    </row>
    <row r="18">
      <c r="A18" t="n">
        <v>1</v>
      </c>
      <c r="B18" t="n">
        <v>2024</v>
      </c>
      <c r="C18" t="n">
        <v>5</v>
      </c>
      <c r="D18" t="inlineStr">
        <is>
          <t>2024-05</t>
        </is>
      </c>
      <c r="E18" t="n">
        <v>47910000</v>
      </c>
      <c r="F18" t="n">
        <v>0.204</v>
      </c>
    </row>
    <row r="19">
      <c r="A19" t="n">
        <v>1</v>
      </c>
      <c r="B19" t="n">
        <v>2024</v>
      </c>
      <c r="C19" t="n">
        <v>6</v>
      </c>
      <c r="D19" t="inlineStr">
        <is>
          <t>2024-06</t>
        </is>
      </c>
      <c r="E19" t="n">
        <v>40620000</v>
      </c>
      <c r="F19" t="n">
        <v>0.201</v>
      </c>
    </row>
    <row r="20">
      <c r="A20" t="n">
        <v>1</v>
      </c>
      <c r="B20" t="n">
        <v>2024</v>
      </c>
      <c r="C20" t="n">
        <v>7</v>
      </c>
      <c r="D20" t="inlineStr">
        <is>
          <t>2024-07</t>
        </is>
      </c>
      <c r="E20" t="n">
        <v>37500000</v>
      </c>
      <c r="F20" t="n">
        <v>0.187</v>
      </c>
    </row>
    <row r="21">
      <c r="A21" t="n">
        <v>1</v>
      </c>
      <c r="B21" t="n">
        <v>2024</v>
      </c>
      <c r="C21" t="n">
        <v>8</v>
      </c>
      <c r="D21" t="inlineStr">
        <is>
          <t>2024-08</t>
        </is>
      </c>
      <c r="E21" t="n">
        <v>41660000</v>
      </c>
      <c r="F21" t="n">
        <v>0.193</v>
      </c>
    </row>
    <row r="22">
      <c r="A22" t="n">
        <v>1</v>
      </c>
      <c r="B22" t="n">
        <v>2024</v>
      </c>
      <c r="C22" t="n">
        <v>9</v>
      </c>
      <c r="D22" t="inlineStr">
        <is>
          <t>2024-09</t>
        </is>
      </c>
      <c r="E22" t="n">
        <v>53120000</v>
      </c>
      <c r="F22" t="n">
        <v>0.202</v>
      </c>
    </row>
    <row r="23">
      <c r="A23" t="n">
        <v>1</v>
      </c>
      <c r="B23" t="n">
        <v>2024</v>
      </c>
      <c r="C23" t="n">
        <v>10</v>
      </c>
      <c r="D23" t="inlineStr">
        <is>
          <t>2024-10</t>
        </is>
      </c>
      <c r="E23" t="n">
        <v>63540000</v>
      </c>
      <c r="F23" t="n">
        <v>0.193</v>
      </c>
    </row>
    <row r="24">
      <c r="A24" t="n">
        <v>1</v>
      </c>
      <c r="B24" t="n">
        <v>2024</v>
      </c>
      <c r="C24" t="n">
        <v>11</v>
      </c>
      <c r="D24" t="inlineStr">
        <is>
          <t>2024-11</t>
        </is>
      </c>
      <c r="E24" t="n">
        <v>62500000</v>
      </c>
      <c r="F24" t="n">
        <v>0.196</v>
      </c>
    </row>
    <row r="25">
      <c r="A25" t="n">
        <v>1</v>
      </c>
      <c r="B25" t="n">
        <v>2024</v>
      </c>
      <c r="C25" t="n">
        <v>12</v>
      </c>
      <c r="D25" t="inlineStr">
        <is>
          <t>2024-12</t>
        </is>
      </c>
      <c r="E25" t="n">
        <v>60410000</v>
      </c>
      <c r="F25" t="n">
        <v>0.2</v>
      </c>
    </row>
    <row r="26">
      <c r="A26" t="n">
        <v>1</v>
      </c>
      <c r="B26" t="n">
        <v>2025</v>
      </c>
      <c r="C26" t="n">
        <v>1</v>
      </c>
      <c r="D26" t="inlineStr">
        <is>
          <t>2025-01</t>
        </is>
      </c>
      <c r="E26" t="n">
        <v>53350000</v>
      </c>
      <c r="F26" t="n">
        <v>0.197</v>
      </c>
    </row>
    <row r="27">
      <c r="A27" t="n">
        <v>1</v>
      </c>
      <c r="B27" t="n">
        <v>2025</v>
      </c>
      <c r="C27" t="n">
        <v>2</v>
      </c>
      <c r="D27" t="inlineStr">
        <is>
          <t>2025-02</t>
        </is>
      </c>
      <c r="E27" t="n">
        <v>56160000</v>
      </c>
      <c r="F27" t="n">
        <v>0.2</v>
      </c>
    </row>
    <row r="28">
      <c r="A28" t="n">
        <v>1</v>
      </c>
      <c r="B28" t="n">
        <v>2025</v>
      </c>
      <c r="C28" t="n">
        <v>3</v>
      </c>
      <c r="D28" t="inlineStr">
        <is>
          <t>2025-03</t>
        </is>
      </c>
      <c r="E28" t="n">
        <v>66270000</v>
      </c>
      <c r="F28" t="n">
        <v>0.191</v>
      </c>
    </row>
    <row r="29">
      <c r="A29" t="n">
        <v>1</v>
      </c>
      <c r="B29" t="n">
        <v>2025</v>
      </c>
      <c r="C29" t="n">
        <v>4</v>
      </c>
      <c r="D29" t="inlineStr">
        <is>
          <t>2025-04</t>
        </is>
      </c>
      <c r="E29" t="n">
        <v>64020000</v>
      </c>
      <c r="F29" t="n">
        <v>0.2</v>
      </c>
    </row>
    <row r="30">
      <c r="A30" t="n">
        <v>1</v>
      </c>
      <c r="B30" t="n">
        <v>2025</v>
      </c>
      <c r="C30" t="n">
        <v>5</v>
      </c>
      <c r="D30" t="inlineStr">
        <is>
          <t>2025-05</t>
        </is>
      </c>
      <c r="E30" t="n">
        <v>51670000</v>
      </c>
      <c r="F30" t="n">
        <v>0.19</v>
      </c>
    </row>
    <row r="31">
      <c r="A31" t="n">
        <v>1</v>
      </c>
      <c r="B31" t="n">
        <v>2025</v>
      </c>
      <c r="C31" t="n">
        <v>6</v>
      </c>
      <c r="D31" t="inlineStr">
        <is>
          <t>2025-06</t>
        </is>
      </c>
      <c r="E31" t="n">
        <v>43800000</v>
      </c>
      <c r="F31" t="n">
        <v>0.188</v>
      </c>
    </row>
    <row r="32">
      <c r="A32" t="n">
        <v>1</v>
      </c>
      <c r="B32" t="n">
        <v>2025</v>
      </c>
      <c r="C32" t="n">
        <v>7</v>
      </c>
      <c r="D32" t="inlineStr">
        <is>
          <t>2025-07</t>
        </is>
      </c>
      <c r="E32" t="n">
        <v>40440000</v>
      </c>
      <c r="F32" t="n">
        <v>0.201</v>
      </c>
    </row>
    <row r="33">
      <c r="A33" t="n">
        <v>1</v>
      </c>
      <c r="B33" t="n">
        <v>2025</v>
      </c>
      <c r="C33" t="n">
        <v>8</v>
      </c>
      <c r="D33" t="inlineStr">
        <is>
          <t>2025-08</t>
        </is>
      </c>
      <c r="E33" t="n">
        <v>44930000</v>
      </c>
      <c r="F33" t="n">
        <v>0.192</v>
      </c>
    </row>
    <row r="34">
      <c r="A34" t="n">
        <v>1</v>
      </c>
      <c r="B34" t="n">
        <v>2025</v>
      </c>
      <c r="C34" t="n">
        <v>9</v>
      </c>
      <c r="D34" t="inlineStr">
        <is>
          <t>2025-09</t>
        </is>
      </c>
      <c r="E34" t="n">
        <v>57280000</v>
      </c>
      <c r="F34" t="n">
        <v>0.205</v>
      </c>
    </row>
    <row r="35">
      <c r="A35" t="n">
        <v>1</v>
      </c>
      <c r="B35" t="n">
        <v>2025</v>
      </c>
      <c r="C35" t="n">
        <v>10</v>
      </c>
      <c r="D35" t="inlineStr">
        <is>
          <t>2025-10</t>
        </is>
      </c>
      <c r="E35" t="n">
        <v>68520000</v>
      </c>
      <c r="F35" t="n">
        <v>0.203</v>
      </c>
    </row>
    <row r="36">
      <c r="A36" t="n">
        <v>1</v>
      </c>
      <c r="B36" t="n">
        <v>2025</v>
      </c>
      <c r="C36" t="n">
        <v>11</v>
      </c>
      <c r="D36" t="inlineStr">
        <is>
          <t>2025-11</t>
        </is>
      </c>
      <c r="E36" t="n">
        <v>67390000</v>
      </c>
      <c r="F36" t="n">
        <v>0.186</v>
      </c>
    </row>
    <row r="37">
      <c r="A37" t="n">
        <v>1</v>
      </c>
      <c r="B37" t="n">
        <v>2025</v>
      </c>
      <c r="C37" t="n">
        <v>12</v>
      </c>
      <c r="D37" t="inlineStr">
        <is>
          <t>2025-12</t>
        </is>
      </c>
      <c r="E37" t="n">
        <v>65150000</v>
      </c>
      <c r="F37" t="n">
        <v>0.195</v>
      </c>
    </row>
    <row r="38">
      <c r="A38" t="n">
        <v>1</v>
      </c>
      <c r="B38" t="n">
        <v>2026</v>
      </c>
      <c r="C38" t="n">
        <v>1</v>
      </c>
      <c r="D38" t="inlineStr">
        <is>
          <t>2026-01</t>
        </is>
      </c>
      <c r="E38" t="n">
        <v>57230000</v>
      </c>
      <c r="F38" t="n">
        <v>0.201</v>
      </c>
    </row>
    <row r="39">
      <c r="A39" t="n">
        <v>1</v>
      </c>
      <c r="B39" t="n">
        <v>2026</v>
      </c>
      <c r="C39" t="n">
        <v>2</v>
      </c>
      <c r="D39" t="inlineStr">
        <is>
          <t>2026-02</t>
        </is>
      </c>
      <c r="E39" t="n">
        <v>60240000</v>
      </c>
      <c r="F39" t="n">
        <v>0.201</v>
      </c>
    </row>
    <row r="40">
      <c r="A40" t="n">
        <v>1</v>
      </c>
      <c r="B40" t="n">
        <v>2026</v>
      </c>
      <c r="C40" t="n">
        <v>3</v>
      </c>
      <c r="D40" t="inlineStr">
        <is>
          <t>2026-03</t>
        </is>
      </c>
      <c r="E40" t="n">
        <v>71080000</v>
      </c>
      <c r="F40" t="n">
        <v>0.202</v>
      </c>
    </row>
    <row r="41">
      <c r="A41" t="n">
        <v>1</v>
      </c>
      <c r="B41" t="n">
        <v>2026</v>
      </c>
      <c r="C41" t="n">
        <v>4</v>
      </c>
      <c r="D41" t="inlineStr">
        <is>
          <t>2026-04</t>
        </is>
      </c>
      <c r="E41" t="n">
        <v>68670000</v>
      </c>
      <c r="F41" t="n">
        <v>0.202</v>
      </c>
    </row>
    <row r="42">
      <c r="A42" t="n">
        <v>1</v>
      </c>
      <c r="B42" t="n">
        <v>2026</v>
      </c>
      <c r="C42" t="n">
        <v>5</v>
      </c>
      <c r="D42" t="inlineStr">
        <is>
          <t>2026-05</t>
        </is>
      </c>
      <c r="E42" t="n">
        <v>55420000</v>
      </c>
      <c r="F42" t="n">
        <v>0.201</v>
      </c>
    </row>
    <row r="43">
      <c r="A43" t="n">
        <v>1</v>
      </c>
      <c r="B43" t="n">
        <v>2026</v>
      </c>
      <c r="C43" t="n">
        <v>6</v>
      </c>
      <c r="D43" t="inlineStr">
        <is>
          <t>2026-06</t>
        </is>
      </c>
      <c r="E43" t="n">
        <v>46990000</v>
      </c>
      <c r="F43" t="n">
        <v>0.195</v>
      </c>
    </row>
    <row r="44">
      <c r="A44" t="n">
        <v>1</v>
      </c>
      <c r="B44" t="n">
        <v>2026</v>
      </c>
      <c r="C44" t="n">
        <v>7</v>
      </c>
      <c r="D44" t="inlineStr">
        <is>
          <t>2026-07</t>
        </is>
      </c>
      <c r="E44" t="n">
        <v>43370000</v>
      </c>
      <c r="F44" t="n">
        <v>0.202</v>
      </c>
    </row>
    <row r="45">
      <c r="A45" t="n">
        <v>1</v>
      </c>
      <c r="B45" t="n">
        <v>2026</v>
      </c>
      <c r="C45" t="n">
        <v>8</v>
      </c>
      <c r="D45" t="inlineStr">
        <is>
          <t>2026-08</t>
        </is>
      </c>
      <c r="E45" t="n">
        <v>48190000</v>
      </c>
      <c r="F45" t="n">
        <v>0.195</v>
      </c>
    </row>
    <row r="46">
      <c r="A46" t="n">
        <v>2</v>
      </c>
      <c r="B46" t="n">
        <v>2023</v>
      </c>
      <c r="C46" t="n">
        <v>1</v>
      </c>
      <c r="D46" t="inlineStr">
        <is>
          <t>2023-01</t>
        </is>
      </c>
      <c r="E46" t="n">
        <v>29450000</v>
      </c>
      <c r="F46" t="n">
        <v>0.189</v>
      </c>
    </row>
    <row r="47">
      <c r="A47" t="n">
        <v>2</v>
      </c>
      <c r="B47" t="n">
        <v>2023</v>
      </c>
      <c r="C47" t="n">
        <v>2</v>
      </c>
      <c r="D47" t="inlineStr">
        <is>
          <t>2023-02</t>
        </is>
      </c>
      <c r="E47" t="n">
        <v>31000000</v>
      </c>
      <c r="F47" t="n">
        <v>0.202</v>
      </c>
    </row>
    <row r="48">
      <c r="A48" t="n">
        <v>2</v>
      </c>
      <c r="B48" t="n">
        <v>2023</v>
      </c>
      <c r="C48" t="n">
        <v>3</v>
      </c>
      <c r="D48" t="inlineStr">
        <is>
          <t>2023-03</t>
        </is>
      </c>
      <c r="E48" t="n">
        <v>36580000</v>
      </c>
      <c r="F48" t="n">
        <v>0.197</v>
      </c>
    </row>
    <row r="49">
      <c r="A49" t="n">
        <v>2</v>
      </c>
      <c r="B49" t="n">
        <v>2023</v>
      </c>
      <c r="C49" t="n">
        <v>4</v>
      </c>
      <c r="D49" t="inlineStr">
        <is>
          <t>2023-04</t>
        </is>
      </c>
      <c r="E49" t="n">
        <v>35340000</v>
      </c>
      <c r="F49" t="n">
        <v>0.192</v>
      </c>
    </row>
    <row r="50">
      <c r="A50" t="n">
        <v>2</v>
      </c>
      <c r="B50" t="n">
        <v>2023</v>
      </c>
      <c r="C50" t="n">
        <v>5</v>
      </c>
      <c r="D50" t="inlineStr">
        <is>
          <t>2023-05</t>
        </is>
      </c>
      <c r="E50" t="n">
        <v>28520000</v>
      </c>
      <c r="F50" t="n">
        <v>0.202</v>
      </c>
    </row>
    <row r="51">
      <c r="A51" t="n">
        <v>2</v>
      </c>
      <c r="B51" t="n">
        <v>2023</v>
      </c>
      <c r="C51" t="n">
        <v>6</v>
      </c>
      <c r="D51" t="inlineStr">
        <is>
          <t>2023-06</t>
        </is>
      </c>
      <c r="E51" t="n">
        <v>24180000</v>
      </c>
      <c r="F51" t="n">
        <v>0.2</v>
      </c>
    </row>
    <row r="52">
      <c r="A52" t="n">
        <v>2</v>
      </c>
      <c r="B52" t="n">
        <v>2023</v>
      </c>
      <c r="C52" t="n">
        <v>7</v>
      </c>
      <c r="D52" t="inlineStr">
        <is>
          <t>2023-07</t>
        </is>
      </c>
      <c r="E52" t="n">
        <v>22320000</v>
      </c>
      <c r="F52" t="n">
        <v>0.205</v>
      </c>
    </row>
    <row r="53">
      <c r="A53" t="n">
        <v>2</v>
      </c>
      <c r="B53" t="n">
        <v>2023</v>
      </c>
      <c r="C53" t="n">
        <v>8</v>
      </c>
      <c r="D53" t="inlineStr">
        <is>
          <t>2023-08</t>
        </is>
      </c>
      <c r="E53" t="n">
        <v>24800000</v>
      </c>
      <c r="F53" t="n">
        <v>0.197</v>
      </c>
    </row>
    <row r="54">
      <c r="A54" t="n">
        <v>2</v>
      </c>
      <c r="B54" t="n">
        <v>2023</v>
      </c>
      <c r="C54" t="n">
        <v>9</v>
      </c>
      <c r="D54" t="inlineStr">
        <is>
          <t>2023-09</t>
        </is>
      </c>
      <c r="E54" t="n">
        <v>31620000</v>
      </c>
      <c r="F54" t="n">
        <v>0.196</v>
      </c>
    </row>
    <row r="55">
      <c r="A55" t="n">
        <v>2</v>
      </c>
      <c r="B55" t="n">
        <v>2023</v>
      </c>
      <c r="C55" t="n">
        <v>10</v>
      </c>
      <c r="D55" t="inlineStr">
        <is>
          <t>2023-10</t>
        </is>
      </c>
      <c r="E55" t="n">
        <v>37820000</v>
      </c>
      <c r="F55" t="n">
        <v>0.193</v>
      </c>
    </row>
    <row r="56">
      <c r="A56" t="n">
        <v>2</v>
      </c>
      <c r="B56" t="n">
        <v>2023</v>
      </c>
      <c r="C56" t="n">
        <v>11</v>
      </c>
      <c r="D56" t="inlineStr">
        <is>
          <t>2023-11</t>
        </is>
      </c>
      <c r="E56" t="n">
        <v>37200000</v>
      </c>
      <c r="F56" t="n">
        <v>0.198</v>
      </c>
    </row>
    <row r="57">
      <c r="A57" t="n">
        <v>2</v>
      </c>
      <c r="B57" t="n">
        <v>2023</v>
      </c>
      <c r="C57" t="n">
        <v>12</v>
      </c>
      <c r="D57" t="inlineStr">
        <is>
          <t>2023-12</t>
        </is>
      </c>
      <c r="E57" t="n">
        <v>35960000</v>
      </c>
      <c r="F57" t="n">
        <v>0.194</v>
      </c>
    </row>
    <row r="58">
      <c r="A58" t="n">
        <v>2</v>
      </c>
      <c r="B58" t="n">
        <v>2024</v>
      </c>
      <c r="C58" t="n">
        <v>1</v>
      </c>
      <c r="D58" t="inlineStr">
        <is>
          <t>2024-01</t>
        </is>
      </c>
      <c r="E58" t="n">
        <v>31950000</v>
      </c>
      <c r="F58" t="n">
        <v>0.197</v>
      </c>
    </row>
    <row r="59">
      <c r="A59" t="n">
        <v>2</v>
      </c>
      <c r="B59" t="n">
        <v>2024</v>
      </c>
      <c r="C59" t="n">
        <v>2</v>
      </c>
      <c r="D59" t="inlineStr">
        <is>
          <t>2024-02</t>
        </is>
      </c>
      <c r="E59" t="n">
        <v>33640000</v>
      </c>
      <c r="F59" t="n">
        <v>0.203</v>
      </c>
    </row>
    <row r="60">
      <c r="A60" t="n">
        <v>2</v>
      </c>
      <c r="B60" t="n">
        <v>2024</v>
      </c>
      <c r="C60" t="n">
        <v>3</v>
      </c>
      <c r="D60" t="inlineStr">
        <is>
          <t>2024-03</t>
        </is>
      </c>
      <c r="E60" t="n">
        <v>39690000</v>
      </c>
      <c r="F60" t="n">
        <v>0.203</v>
      </c>
    </row>
    <row r="61">
      <c r="A61" t="n">
        <v>2</v>
      </c>
      <c r="B61" t="n">
        <v>2024</v>
      </c>
      <c r="C61" t="n">
        <v>4</v>
      </c>
      <c r="D61" t="inlineStr">
        <is>
          <t>2024-04</t>
        </is>
      </c>
      <c r="E61" t="n">
        <v>38340000</v>
      </c>
      <c r="F61" t="n">
        <v>0.195</v>
      </c>
    </row>
    <row r="62">
      <c r="A62" t="n">
        <v>2</v>
      </c>
      <c r="B62" t="n">
        <v>2024</v>
      </c>
      <c r="C62" t="n">
        <v>5</v>
      </c>
      <c r="D62" t="inlineStr">
        <is>
          <t>2024-05</t>
        </is>
      </c>
      <c r="E62" t="n">
        <v>30940000</v>
      </c>
      <c r="F62" t="n">
        <v>0.192</v>
      </c>
    </row>
    <row r="63">
      <c r="A63" t="n">
        <v>2</v>
      </c>
      <c r="B63" t="n">
        <v>2024</v>
      </c>
      <c r="C63" t="n">
        <v>6</v>
      </c>
      <c r="D63" t="inlineStr">
        <is>
          <t>2024-06</t>
        </is>
      </c>
      <c r="E63" t="n">
        <v>26240000</v>
      </c>
      <c r="F63" t="n">
        <v>0.204</v>
      </c>
    </row>
    <row r="64">
      <c r="A64" t="n">
        <v>2</v>
      </c>
      <c r="B64" t="n">
        <v>2024</v>
      </c>
      <c r="C64" t="n">
        <v>7</v>
      </c>
      <c r="D64" t="inlineStr">
        <is>
          <t>2024-07</t>
        </is>
      </c>
      <c r="E64" t="n">
        <v>24220000</v>
      </c>
      <c r="F64" t="n">
        <v>0.201</v>
      </c>
    </row>
    <row r="65">
      <c r="A65" t="n">
        <v>2</v>
      </c>
      <c r="B65" t="n">
        <v>2024</v>
      </c>
      <c r="C65" t="n">
        <v>8</v>
      </c>
      <c r="D65" t="inlineStr">
        <is>
          <t>2024-08</t>
        </is>
      </c>
      <c r="E65" t="n">
        <v>26910000</v>
      </c>
      <c r="F65" t="n">
        <v>0.203</v>
      </c>
    </row>
    <row r="66">
      <c r="A66" t="n">
        <v>2</v>
      </c>
      <c r="B66" t="n">
        <v>2024</v>
      </c>
      <c r="C66" t="n">
        <v>9</v>
      </c>
      <c r="D66" t="inlineStr">
        <is>
          <t>2024-09</t>
        </is>
      </c>
      <c r="E66" t="n">
        <v>34310000</v>
      </c>
      <c r="F66" t="n">
        <v>0.185</v>
      </c>
    </row>
    <row r="67">
      <c r="A67" t="n">
        <v>2</v>
      </c>
      <c r="B67" t="n">
        <v>2024</v>
      </c>
      <c r="C67" t="n">
        <v>10</v>
      </c>
      <c r="D67" t="inlineStr">
        <is>
          <t>2024-10</t>
        </is>
      </c>
      <c r="E67" t="n">
        <v>41030000</v>
      </c>
      <c r="F67" t="n">
        <v>0.195</v>
      </c>
    </row>
    <row r="68">
      <c r="A68" t="n">
        <v>2</v>
      </c>
      <c r="B68" t="n">
        <v>2024</v>
      </c>
      <c r="C68" t="n">
        <v>11</v>
      </c>
      <c r="D68" t="inlineStr">
        <is>
          <t>2024-11</t>
        </is>
      </c>
      <c r="E68" t="n">
        <v>40360000</v>
      </c>
      <c r="F68" t="n">
        <v>0.197</v>
      </c>
    </row>
    <row r="69">
      <c r="A69" t="n">
        <v>2</v>
      </c>
      <c r="B69" t="n">
        <v>2024</v>
      </c>
      <c r="C69" t="n">
        <v>12</v>
      </c>
      <c r="D69" t="inlineStr">
        <is>
          <t>2024-12</t>
        </is>
      </c>
      <c r="E69" t="n">
        <v>39020000</v>
      </c>
      <c r="F69" t="n">
        <v>0.186</v>
      </c>
    </row>
    <row r="70">
      <c r="A70" t="n">
        <v>2</v>
      </c>
      <c r="B70" t="n">
        <v>2025</v>
      </c>
      <c r="C70" t="n">
        <v>1</v>
      </c>
      <c r="D70" t="inlineStr">
        <is>
          <t>2025-01</t>
        </is>
      </c>
      <c r="E70" t="n">
        <v>34460000</v>
      </c>
      <c r="F70" t="n">
        <v>0.186</v>
      </c>
    </row>
    <row r="71">
      <c r="A71" t="n">
        <v>2</v>
      </c>
      <c r="B71" t="n">
        <v>2025</v>
      </c>
      <c r="C71" t="n">
        <v>2</v>
      </c>
      <c r="D71" t="inlineStr">
        <is>
          <t>2025-02</t>
        </is>
      </c>
      <c r="E71" t="n">
        <v>36270000</v>
      </c>
      <c r="F71" t="n">
        <v>0.202</v>
      </c>
    </row>
    <row r="72">
      <c r="A72" t="n">
        <v>2</v>
      </c>
      <c r="B72" t="n">
        <v>2025</v>
      </c>
      <c r="C72" t="n">
        <v>3</v>
      </c>
      <c r="D72" t="inlineStr">
        <is>
          <t>2025-03</t>
        </is>
      </c>
      <c r="E72" t="n">
        <v>42800000</v>
      </c>
      <c r="F72" t="n">
        <v>0.199</v>
      </c>
    </row>
    <row r="73">
      <c r="A73" t="n">
        <v>2</v>
      </c>
      <c r="B73" t="n">
        <v>2025</v>
      </c>
      <c r="C73" t="n">
        <v>4</v>
      </c>
      <c r="D73" t="inlineStr">
        <is>
          <t>2025-04</t>
        </is>
      </c>
      <c r="E73" t="n">
        <v>41350000</v>
      </c>
      <c r="F73" t="n">
        <v>0.187</v>
      </c>
    </row>
    <row r="74">
      <c r="A74" t="n">
        <v>2</v>
      </c>
      <c r="B74" t="n">
        <v>2025</v>
      </c>
      <c r="C74" t="n">
        <v>5</v>
      </c>
      <c r="D74" t="inlineStr">
        <is>
          <t>2025-05</t>
        </is>
      </c>
      <c r="E74" t="n">
        <v>33370000</v>
      </c>
      <c r="F74" t="n">
        <v>0.191</v>
      </c>
    </row>
    <row r="75">
      <c r="A75" t="n">
        <v>2</v>
      </c>
      <c r="B75" t="n">
        <v>2025</v>
      </c>
      <c r="C75" t="n">
        <v>6</v>
      </c>
      <c r="D75" t="inlineStr">
        <is>
          <t>2025-06</t>
        </is>
      </c>
      <c r="E75" t="n">
        <v>28290000</v>
      </c>
      <c r="F75" t="n">
        <v>0.198</v>
      </c>
    </row>
    <row r="76">
      <c r="A76" t="n">
        <v>2</v>
      </c>
      <c r="B76" t="n">
        <v>2025</v>
      </c>
      <c r="C76" t="n">
        <v>7</v>
      </c>
      <c r="D76" t="inlineStr">
        <is>
          <t>2025-07</t>
        </is>
      </c>
      <c r="E76" t="n">
        <v>26110000</v>
      </c>
      <c r="F76" t="n">
        <v>0.203</v>
      </c>
    </row>
    <row r="77">
      <c r="A77" t="n">
        <v>2</v>
      </c>
      <c r="B77" t="n">
        <v>2025</v>
      </c>
      <c r="C77" t="n">
        <v>8</v>
      </c>
      <c r="D77" t="inlineStr">
        <is>
          <t>2025-08</t>
        </is>
      </c>
      <c r="E77" t="n">
        <v>29020000</v>
      </c>
      <c r="F77" t="n">
        <v>0.188</v>
      </c>
    </row>
    <row r="78">
      <c r="A78" t="n">
        <v>2</v>
      </c>
      <c r="B78" t="n">
        <v>2025</v>
      </c>
      <c r="C78" t="n">
        <v>9</v>
      </c>
      <c r="D78" t="inlineStr">
        <is>
          <t>2025-09</t>
        </is>
      </c>
      <c r="E78" t="n">
        <v>37000000</v>
      </c>
      <c r="F78" t="n">
        <v>0.185</v>
      </c>
    </row>
    <row r="79">
      <c r="A79" t="n">
        <v>2</v>
      </c>
      <c r="B79" t="n">
        <v>2025</v>
      </c>
      <c r="C79" t="n">
        <v>10</v>
      </c>
      <c r="D79" t="inlineStr">
        <is>
          <t>2025-10</t>
        </is>
      </c>
      <c r="E79" t="n">
        <v>44250000</v>
      </c>
      <c r="F79" t="n">
        <v>0.186</v>
      </c>
    </row>
    <row r="80">
      <c r="A80" t="n">
        <v>2</v>
      </c>
      <c r="B80" t="n">
        <v>2025</v>
      </c>
      <c r="C80" t="n">
        <v>11</v>
      </c>
      <c r="D80" t="inlineStr">
        <is>
          <t>2025-11</t>
        </is>
      </c>
      <c r="E80" t="n">
        <v>43520000</v>
      </c>
      <c r="F80" t="n">
        <v>0.194</v>
      </c>
    </row>
    <row r="81">
      <c r="A81" t="n">
        <v>2</v>
      </c>
      <c r="B81" t="n">
        <v>2025</v>
      </c>
      <c r="C81" t="n">
        <v>12</v>
      </c>
      <c r="D81" t="inlineStr">
        <is>
          <t>2025-12</t>
        </is>
      </c>
      <c r="E81" t="n">
        <v>42070000</v>
      </c>
      <c r="F81" t="n">
        <v>0.199</v>
      </c>
    </row>
    <row r="82">
      <c r="A82" t="n">
        <v>2</v>
      </c>
      <c r="B82" t="n">
        <v>2026</v>
      </c>
      <c r="C82" t="n">
        <v>1</v>
      </c>
      <c r="D82" t="inlineStr">
        <is>
          <t>2026-01</t>
        </is>
      </c>
      <c r="E82" t="n">
        <v>36960000</v>
      </c>
      <c r="F82" t="n">
        <v>0.192</v>
      </c>
    </row>
    <row r="83">
      <c r="A83" t="n">
        <v>2</v>
      </c>
      <c r="B83" t="n">
        <v>2026</v>
      </c>
      <c r="C83" t="n">
        <v>2</v>
      </c>
      <c r="D83" t="inlineStr">
        <is>
          <t>2026-02</t>
        </is>
      </c>
      <c r="E83" t="n">
        <v>38900000</v>
      </c>
      <c r="F83" t="n">
        <v>0.204</v>
      </c>
    </row>
    <row r="84">
      <c r="A84" t="n">
        <v>2</v>
      </c>
      <c r="B84" t="n">
        <v>2026</v>
      </c>
      <c r="C84" t="n">
        <v>3</v>
      </c>
      <c r="D84" t="inlineStr">
        <is>
          <t>2026-03</t>
        </is>
      </c>
      <c r="E84" t="n">
        <v>45910000</v>
      </c>
      <c r="F84" t="n">
        <v>0.186</v>
      </c>
    </row>
    <row r="85">
      <c r="A85" t="n">
        <v>2</v>
      </c>
      <c r="B85" t="n">
        <v>2026</v>
      </c>
      <c r="C85" t="n">
        <v>4</v>
      </c>
      <c r="D85" t="inlineStr">
        <is>
          <t>2026-04</t>
        </is>
      </c>
      <c r="E85" t="n">
        <v>44350000</v>
      </c>
      <c r="F85" t="n">
        <v>0.198</v>
      </c>
    </row>
    <row r="86">
      <c r="A86" t="n">
        <v>2</v>
      </c>
      <c r="B86" t="n">
        <v>2026</v>
      </c>
      <c r="C86" t="n">
        <v>5</v>
      </c>
      <c r="D86" t="inlineStr">
        <is>
          <t>2026-05</t>
        </is>
      </c>
      <c r="E86" t="n">
        <v>35790000</v>
      </c>
      <c r="F86" t="n">
        <v>0.201</v>
      </c>
    </row>
    <row r="87">
      <c r="A87" t="n">
        <v>2</v>
      </c>
      <c r="B87" t="n">
        <v>2026</v>
      </c>
      <c r="C87" t="n">
        <v>6</v>
      </c>
      <c r="D87" t="inlineStr">
        <is>
          <t>2026-06</t>
        </is>
      </c>
      <c r="E87" t="n">
        <v>30350000</v>
      </c>
      <c r="F87" t="n">
        <v>0.204</v>
      </c>
    </row>
    <row r="88">
      <c r="A88" t="n">
        <v>2</v>
      </c>
      <c r="B88" t="n">
        <v>2026</v>
      </c>
      <c r="C88" t="n">
        <v>7</v>
      </c>
      <c r="D88" t="inlineStr">
        <is>
          <t>2026-07</t>
        </is>
      </c>
      <c r="E88" t="n">
        <v>28010000</v>
      </c>
      <c r="F88" t="n">
        <v>0.194</v>
      </c>
    </row>
    <row r="89">
      <c r="A89" t="n">
        <v>2</v>
      </c>
      <c r="B89" t="n">
        <v>2026</v>
      </c>
      <c r="C89" t="n">
        <v>8</v>
      </c>
      <c r="D89" t="inlineStr">
        <is>
          <t>2026-08</t>
        </is>
      </c>
      <c r="E89" t="n">
        <v>31120000</v>
      </c>
      <c r="F89" t="n">
        <v>0.186</v>
      </c>
    </row>
    <row r="90">
      <c r="A90" t="n">
        <v>3</v>
      </c>
      <c r="B90" t="n">
        <v>2023</v>
      </c>
      <c r="C90" t="n">
        <v>1</v>
      </c>
      <c r="D90" t="inlineStr">
        <is>
          <t>2023-01</t>
        </is>
      </c>
      <c r="E90" t="n">
        <v>25650000</v>
      </c>
      <c r="F90" t="n">
        <v>0.197</v>
      </c>
    </row>
    <row r="91">
      <c r="A91" t="n">
        <v>3</v>
      </c>
      <c r="B91" t="n">
        <v>2023</v>
      </c>
      <c r="C91" t="n">
        <v>2</v>
      </c>
      <c r="D91" t="inlineStr">
        <is>
          <t>2023-02</t>
        </is>
      </c>
      <c r="E91" t="n">
        <v>27000000</v>
      </c>
      <c r="F91" t="n">
        <v>0.194</v>
      </c>
    </row>
    <row r="92">
      <c r="A92" t="n">
        <v>3</v>
      </c>
      <c r="B92" t="n">
        <v>2023</v>
      </c>
      <c r="C92" t="n">
        <v>3</v>
      </c>
      <c r="D92" t="inlineStr">
        <is>
          <t>2023-03</t>
        </is>
      </c>
      <c r="E92" t="n">
        <v>31860000</v>
      </c>
      <c r="F92" t="n">
        <v>0.191</v>
      </c>
    </row>
    <row r="93">
      <c r="A93" t="n">
        <v>3</v>
      </c>
      <c r="B93" t="n">
        <v>2023</v>
      </c>
      <c r="C93" t="n">
        <v>4</v>
      </c>
      <c r="D93" t="inlineStr">
        <is>
          <t>2023-04</t>
        </is>
      </c>
      <c r="E93" t="n">
        <v>30780000</v>
      </c>
      <c r="F93" t="n">
        <v>0.192</v>
      </c>
    </row>
    <row r="94">
      <c r="A94" t="n">
        <v>3</v>
      </c>
      <c r="B94" t="n">
        <v>2023</v>
      </c>
      <c r="C94" t="n">
        <v>5</v>
      </c>
      <c r="D94" t="inlineStr">
        <is>
          <t>2023-05</t>
        </is>
      </c>
      <c r="E94" t="n">
        <v>24840000</v>
      </c>
      <c r="F94" t="n">
        <v>0.195</v>
      </c>
    </row>
    <row r="95">
      <c r="A95" t="n">
        <v>3</v>
      </c>
      <c r="B95" t="n">
        <v>2023</v>
      </c>
      <c r="C95" t="n">
        <v>6</v>
      </c>
      <c r="D95" t="inlineStr">
        <is>
          <t>2023-06</t>
        </is>
      </c>
      <c r="E95" t="n">
        <v>21060000</v>
      </c>
      <c r="F95" t="n">
        <v>0.192</v>
      </c>
    </row>
    <row r="96">
      <c r="A96" t="n">
        <v>3</v>
      </c>
      <c r="B96" t="n">
        <v>2023</v>
      </c>
      <c r="C96" t="n">
        <v>7</v>
      </c>
      <c r="D96" t="inlineStr">
        <is>
          <t>2023-07</t>
        </is>
      </c>
      <c r="E96" t="n">
        <v>19440000</v>
      </c>
      <c r="F96" t="n">
        <v>0.193</v>
      </c>
    </row>
    <row r="97">
      <c r="A97" t="n">
        <v>3</v>
      </c>
      <c r="B97" t="n">
        <v>2023</v>
      </c>
      <c r="C97" t="n">
        <v>8</v>
      </c>
      <c r="D97" t="inlineStr">
        <is>
          <t>2023-08</t>
        </is>
      </c>
      <c r="E97" t="n">
        <v>21600000</v>
      </c>
      <c r="F97" t="n">
        <v>0.198</v>
      </c>
    </row>
    <row r="98">
      <c r="A98" t="n">
        <v>3</v>
      </c>
      <c r="B98" t="n">
        <v>2023</v>
      </c>
      <c r="C98" t="n">
        <v>9</v>
      </c>
      <c r="D98" t="inlineStr">
        <is>
          <t>2023-09</t>
        </is>
      </c>
      <c r="E98" t="n">
        <v>27540000</v>
      </c>
      <c r="F98" t="n">
        <v>0.204</v>
      </c>
    </row>
    <row r="99">
      <c r="A99" t="n">
        <v>3</v>
      </c>
      <c r="B99" t="n">
        <v>2023</v>
      </c>
      <c r="C99" t="n">
        <v>10</v>
      </c>
      <c r="D99" t="inlineStr">
        <is>
          <t>2023-10</t>
        </is>
      </c>
      <c r="E99" t="n">
        <v>32940000</v>
      </c>
      <c r="F99" t="n">
        <v>0.189</v>
      </c>
    </row>
    <row r="100">
      <c r="A100" t="n">
        <v>3</v>
      </c>
      <c r="B100" t="n">
        <v>2023</v>
      </c>
      <c r="C100" t="n">
        <v>11</v>
      </c>
      <c r="D100" t="inlineStr">
        <is>
          <t>2023-11</t>
        </is>
      </c>
      <c r="E100" t="n">
        <v>32400000</v>
      </c>
      <c r="F100" t="n">
        <v>0.192</v>
      </c>
    </row>
    <row r="101">
      <c r="A101" t="n">
        <v>3</v>
      </c>
      <c r="B101" t="n">
        <v>2023</v>
      </c>
      <c r="C101" t="n">
        <v>12</v>
      </c>
      <c r="D101" t="inlineStr">
        <is>
          <t>2023-12</t>
        </is>
      </c>
      <c r="E101" t="n">
        <v>31320000</v>
      </c>
      <c r="F101" t="n">
        <v>0.188</v>
      </c>
    </row>
    <row r="102">
      <c r="A102" t="n">
        <v>3</v>
      </c>
      <c r="B102" t="n">
        <v>2024</v>
      </c>
      <c r="C102" t="n">
        <v>1</v>
      </c>
      <c r="D102" t="inlineStr">
        <is>
          <t>2024-01</t>
        </is>
      </c>
      <c r="E102" t="n">
        <v>27830000</v>
      </c>
      <c r="F102" t="n">
        <v>0.197</v>
      </c>
    </row>
    <row r="103">
      <c r="A103" t="n">
        <v>3</v>
      </c>
      <c r="B103" t="n">
        <v>2024</v>
      </c>
      <c r="C103" t="n">
        <v>2</v>
      </c>
      <c r="D103" t="inlineStr">
        <is>
          <t>2024-02</t>
        </is>
      </c>
      <c r="E103" t="n">
        <v>29300000</v>
      </c>
      <c r="F103" t="n">
        <v>0.197</v>
      </c>
    </row>
    <row r="104">
      <c r="A104" t="n">
        <v>3</v>
      </c>
      <c r="B104" t="n">
        <v>2024</v>
      </c>
      <c r="C104" t="n">
        <v>3</v>
      </c>
      <c r="D104" t="inlineStr">
        <is>
          <t>2024-03</t>
        </is>
      </c>
      <c r="E104" t="n">
        <v>34570000</v>
      </c>
      <c r="F104" t="n">
        <v>0.19</v>
      </c>
    </row>
    <row r="105">
      <c r="A105" t="n">
        <v>3</v>
      </c>
      <c r="B105" t="n">
        <v>2024</v>
      </c>
      <c r="C105" t="n">
        <v>4</v>
      </c>
      <c r="D105" t="inlineStr">
        <is>
          <t>2024-04</t>
        </is>
      </c>
      <c r="E105" t="n">
        <v>33400000</v>
      </c>
      <c r="F105" t="n">
        <v>0.199</v>
      </c>
    </row>
    <row r="106">
      <c r="A106" t="n">
        <v>3</v>
      </c>
      <c r="B106" t="n">
        <v>2024</v>
      </c>
      <c r="C106" t="n">
        <v>5</v>
      </c>
      <c r="D106" t="inlineStr">
        <is>
          <t>2024-05</t>
        </is>
      </c>
      <c r="E106" t="n">
        <v>26950000</v>
      </c>
      <c r="F106" t="n">
        <v>0.196</v>
      </c>
    </row>
    <row r="107">
      <c r="A107" t="n">
        <v>3</v>
      </c>
      <c r="B107" t="n">
        <v>2024</v>
      </c>
      <c r="C107" t="n">
        <v>6</v>
      </c>
      <c r="D107" t="inlineStr">
        <is>
          <t>2024-06</t>
        </is>
      </c>
      <c r="E107" t="n">
        <v>22850000</v>
      </c>
      <c r="F107" t="n">
        <v>0.189</v>
      </c>
    </row>
    <row r="108">
      <c r="A108" t="n">
        <v>3</v>
      </c>
      <c r="B108" t="n">
        <v>2024</v>
      </c>
      <c r="C108" t="n">
        <v>7</v>
      </c>
      <c r="D108" t="inlineStr">
        <is>
          <t>2024-07</t>
        </is>
      </c>
      <c r="E108" t="n">
        <v>21090000</v>
      </c>
      <c r="F108" t="n">
        <v>0.189</v>
      </c>
    </row>
    <row r="109">
      <c r="A109" t="n">
        <v>3</v>
      </c>
      <c r="B109" t="n">
        <v>2024</v>
      </c>
      <c r="C109" t="n">
        <v>8</v>
      </c>
      <c r="D109" t="inlineStr">
        <is>
          <t>2024-08</t>
        </is>
      </c>
      <c r="E109" t="n">
        <v>23440000</v>
      </c>
      <c r="F109" t="n">
        <v>0.192</v>
      </c>
    </row>
    <row r="110">
      <c r="A110" t="n">
        <v>3</v>
      </c>
      <c r="B110" t="n">
        <v>2024</v>
      </c>
      <c r="C110" t="n">
        <v>9</v>
      </c>
      <c r="D110" t="inlineStr">
        <is>
          <t>2024-09</t>
        </is>
      </c>
      <c r="E110" t="n">
        <v>29880000</v>
      </c>
      <c r="F110" t="n">
        <v>0.198</v>
      </c>
    </row>
    <row r="111">
      <c r="A111" t="n">
        <v>3</v>
      </c>
      <c r="B111" t="n">
        <v>2024</v>
      </c>
      <c r="C111" t="n">
        <v>10</v>
      </c>
      <c r="D111" t="inlineStr">
        <is>
          <t>2024-10</t>
        </is>
      </c>
      <c r="E111" t="n">
        <v>35740000</v>
      </c>
      <c r="F111" t="n">
        <v>0.203</v>
      </c>
    </row>
    <row r="112">
      <c r="A112" t="n">
        <v>3</v>
      </c>
      <c r="B112" t="n">
        <v>2024</v>
      </c>
      <c r="C112" t="n">
        <v>11</v>
      </c>
      <c r="D112" t="inlineStr">
        <is>
          <t>2024-11</t>
        </is>
      </c>
      <c r="E112" t="n">
        <v>35150000</v>
      </c>
      <c r="F112" t="n">
        <v>0.19</v>
      </c>
    </row>
    <row r="113">
      <c r="A113" t="n">
        <v>3</v>
      </c>
      <c r="B113" t="n">
        <v>2024</v>
      </c>
      <c r="C113" t="n">
        <v>12</v>
      </c>
      <c r="D113" t="inlineStr">
        <is>
          <t>2024-12</t>
        </is>
      </c>
      <c r="E113" t="n">
        <v>33980000</v>
      </c>
      <c r="F113" t="n">
        <v>0.199</v>
      </c>
    </row>
    <row r="114">
      <c r="A114" t="n">
        <v>3</v>
      </c>
      <c r="B114" t="n">
        <v>2025</v>
      </c>
      <c r="C114" t="n">
        <v>1</v>
      </c>
      <c r="D114" t="inlineStr">
        <is>
          <t>2025-01</t>
        </is>
      </c>
      <c r="E114" t="n">
        <v>30010000</v>
      </c>
      <c r="F114" t="n">
        <v>0.188</v>
      </c>
    </row>
    <row r="115">
      <c r="A115" t="n">
        <v>3</v>
      </c>
      <c r="B115" t="n">
        <v>2025</v>
      </c>
      <c r="C115" t="n">
        <v>2</v>
      </c>
      <c r="D115" t="inlineStr">
        <is>
          <t>2025-02</t>
        </is>
      </c>
      <c r="E115" t="n">
        <v>31590000</v>
      </c>
      <c r="F115" t="n">
        <v>0.203</v>
      </c>
    </row>
    <row r="116">
      <c r="A116" t="n">
        <v>3</v>
      </c>
      <c r="B116" t="n">
        <v>2025</v>
      </c>
      <c r="C116" t="n">
        <v>3</v>
      </c>
      <c r="D116" t="inlineStr">
        <is>
          <t>2025-03</t>
        </is>
      </c>
      <c r="E116" t="n">
        <v>37280000</v>
      </c>
      <c r="F116" t="n">
        <v>0.201</v>
      </c>
    </row>
    <row r="117">
      <c r="A117" t="n">
        <v>3</v>
      </c>
      <c r="B117" t="n">
        <v>2025</v>
      </c>
      <c r="C117" t="n">
        <v>4</v>
      </c>
      <c r="D117" t="inlineStr">
        <is>
          <t>2025-04</t>
        </is>
      </c>
      <c r="E117" t="n">
        <v>36010000</v>
      </c>
      <c r="F117" t="n">
        <v>0.202</v>
      </c>
    </row>
    <row r="118">
      <c r="A118" t="n">
        <v>3</v>
      </c>
      <c r="B118" t="n">
        <v>2025</v>
      </c>
      <c r="C118" t="n">
        <v>5</v>
      </c>
      <c r="D118" t="inlineStr">
        <is>
          <t>2025-05</t>
        </is>
      </c>
      <c r="E118" t="n">
        <v>29060000</v>
      </c>
      <c r="F118" t="n">
        <v>0.202</v>
      </c>
    </row>
    <row r="119">
      <c r="A119" t="n">
        <v>3</v>
      </c>
      <c r="B119" t="n">
        <v>2025</v>
      </c>
      <c r="C119" t="n">
        <v>6</v>
      </c>
      <c r="D119" t="inlineStr">
        <is>
          <t>2025-06</t>
        </is>
      </c>
      <c r="E119" t="n">
        <v>24640000</v>
      </c>
      <c r="F119" t="n">
        <v>0.203</v>
      </c>
    </row>
    <row r="120">
      <c r="A120" t="n">
        <v>3</v>
      </c>
      <c r="B120" t="n">
        <v>2025</v>
      </c>
      <c r="C120" t="n">
        <v>7</v>
      </c>
      <c r="D120" t="inlineStr">
        <is>
          <t>2025-07</t>
        </is>
      </c>
      <c r="E120" t="n">
        <v>22740000</v>
      </c>
      <c r="F120" t="n">
        <v>0.202</v>
      </c>
    </row>
    <row r="121">
      <c r="A121" t="n">
        <v>3</v>
      </c>
      <c r="B121" t="n">
        <v>2025</v>
      </c>
      <c r="C121" t="n">
        <v>8</v>
      </c>
      <c r="D121" t="inlineStr">
        <is>
          <t>2025-08</t>
        </is>
      </c>
      <c r="E121" t="n">
        <v>25270000</v>
      </c>
      <c r="F121" t="n">
        <v>0.187</v>
      </c>
    </row>
    <row r="122">
      <c r="A122" t="n">
        <v>3</v>
      </c>
      <c r="B122" t="n">
        <v>2025</v>
      </c>
      <c r="C122" t="n">
        <v>9</v>
      </c>
      <c r="D122" t="inlineStr">
        <is>
          <t>2025-09</t>
        </is>
      </c>
      <c r="E122" t="n">
        <v>32220000</v>
      </c>
      <c r="F122" t="n">
        <v>0.193</v>
      </c>
    </row>
    <row r="123">
      <c r="A123" t="n">
        <v>3</v>
      </c>
      <c r="B123" t="n">
        <v>2025</v>
      </c>
      <c r="C123" t="n">
        <v>10</v>
      </c>
      <c r="D123" t="inlineStr">
        <is>
          <t>2025-10</t>
        </is>
      </c>
      <c r="E123" t="n">
        <v>38540000</v>
      </c>
      <c r="F123" t="n">
        <v>0.194</v>
      </c>
    </row>
    <row r="124">
      <c r="A124" t="n">
        <v>3</v>
      </c>
      <c r="B124" t="n">
        <v>2025</v>
      </c>
      <c r="C124" t="n">
        <v>11</v>
      </c>
      <c r="D124" t="inlineStr">
        <is>
          <t>2025-11</t>
        </is>
      </c>
      <c r="E124" t="n">
        <v>37910000</v>
      </c>
      <c r="F124" t="n">
        <v>0.194</v>
      </c>
    </row>
    <row r="125">
      <c r="A125" t="n">
        <v>3</v>
      </c>
      <c r="B125" t="n">
        <v>2025</v>
      </c>
      <c r="C125" t="n">
        <v>12</v>
      </c>
      <c r="D125" t="inlineStr">
        <is>
          <t>2025-12</t>
        </is>
      </c>
      <c r="E125" t="n">
        <v>36640000</v>
      </c>
      <c r="F125" t="n">
        <v>0.189</v>
      </c>
    </row>
    <row r="126">
      <c r="A126" t="n">
        <v>3</v>
      </c>
      <c r="B126" t="n">
        <v>2026</v>
      </c>
      <c r="C126" t="n">
        <v>1</v>
      </c>
      <c r="D126" t="inlineStr">
        <is>
          <t>2026-01</t>
        </is>
      </c>
      <c r="E126" t="n">
        <v>32190000</v>
      </c>
      <c r="F126" t="n">
        <v>0.192</v>
      </c>
    </row>
    <row r="127">
      <c r="A127" t="n">
        <v>3</v>
      </c>
      <c r="B127" t="n">
        <v>2026</v>
      </c>
      <c r="C127" t="n">
        <v>2</v>
      </c>
      <c r="D127" t="inlineStr">
        <is>
          <t>2026-02</t>
        </is>
      </c>
      <c r="E127" t="n">
        <v>33880000</v>
      </c>
      <c r="F127" t="n">
        <v>0.189</v>
      </c>
    </row>
    <row r="128">
      <c r="A128" t="n">
        <v>3</v>
      </c>
      <c r="B128" t="n">
        <v>2026</v>
      </c>
      <c r="C128" t="n">
        <v>3</v>
      </c>
      <c r="D128" t="inlineStr">
        <is>
          <t>2026-03</t>
        </is>
      </c>
      <c r="E128" t="n">
        <v>39980000</v>
      </c>
      <c r="F128" t="n">
        <v>0.19</v>
      </c>
    </row>
    <row r="129">
      <c r="A129" t="n">
        <v>3</v>
      </c>
      <c r="B129" t="n">
        <v>2026</v>
      </c>
      <c r="C129" t="n">
        <v>4</v>
      </c>
      <c r="D129" t="inlineStr">
        <is>
          <t>2026-04</t>
        </is>
      </c>
      <c r="E129" t="n">
        <v>38630000</v>
      </c>
      <c r="F129" t="n">
        <v>0.185</v>
      </c>
    </row>
    <row r="130">
      <c r="A130" t="n">
        <v>3</v>
      </c>
      <c r="B130" t="n">
        <v>2026</v>
      </c>
      <c r="C130" t="n">
        <v>5</v>
      </c>
      <c r="D130" t="inlineStr">
        <is>
          <t>2026-05</t>
        </is>
      </c>
      <c r="E130" t="n">
        <v>31170000</v>
      </c>
      <c r="F130" t="n">
        <v>0.187</v>
      </c>
    </row>
    <row r="131">
      <c r="A131" t="n">
        <v>3</v>
      </c>
      <c r="B131" t="n">
        <v>2026</v>
      </c>
      <c r="C131" t="n">
        <v>6</v>
      </c>
      <c r="D131" t="inlineStr">
        <is>
          <t>2026-06</t>
        </is>
      </c>
      <c r="E131" t="n">
        <v>26430000</v>
      </c>
      <c r="F131" t="n">
        <v>0.187</v>
      </c>
    </row>
    <row r="132">
      <c r="A132" t="n">
        <v>3</v>
      </c>
      <c r="B132" t="n">
        <v>2026</v>
      </c>
      <c r="C132" t="n">
        <v>7</v>
      </c>
      <c r="D132" t="inlineStr">
        <is>
          <t>2026-07</t>
        </is>
      </c>
      <c r="E132" t="n">
        <v>24400000</v>
      </c>
      <c r="F132" t="n">
        <v>0.193</v>
      </c>
    </row>
    <row r="133">
      <c r="A133" t="n">
        <v>3</v>
      </c>
      <c r="B133" t="n">
        <v>2026</v>
      </c>
      <c r="C133" t="n">
        <v>8</v>
      </c>
      <c r="D133" t="inlineStr">
        <is>
          <t>2026-08</t>
        </is>
      </c>
      <c r="E133" t="n">
        <v>27110000</v>
      </c>
      <c r="F133" t="n">
        <v>0.188</v>
      </c>
    </row>
    <row r="134">
      <c r="A134" t="n">
        <v>4</v>
      </c>
      <c r="B134" t="n">
        <v>2023</v>
      </c>
      <c r="C134" t="n">
        <v>1</v>
      </c>
      <c r="D134" t="inlineStr">
        <is>
          <t>2023-01</t>
        </is>
      </c>
      <c r="E134" t="n">
        <v>17100000</v>
      </c>
      <c r="F134" t="n">
        <v>0.2</v>
      </c>
    </row>
    <row r="135">
      <c r="A135" t="n">
        <v>4</v>
      </c>
      <c r="B135" t="n">
        <v>2023</v>
      </c>
      <c r="C135" t="n">
        <v>2</v>
      </c>
      <c r="D135" t="inlineStr">
        <is>
          <t>2023-02</t>
        </is>
      </c>
      <c r="E135" t="n">
        <v>18000000</v>
      </c>
      <c r="F135" t="n">
        <v>0.193</v>
      </c>
    </row>
    <row r="136">
      <c r="A136" t="n">
        <v>4</v>
      </c>
      <c r="B136" t="n">
        <v>2023</v>
      </c>
      <c r="C136" t="n">
        <v>3</v>
      </c>
      <c r="D136" t="inlineStr">
        <is>
          <t>2023-03</t>
        </is>
      </c>
      <c r="E136" t="n">
        <v>21240000</v>
      </c>
      <c r="F136" t="n">
        <v>0.189</v>
      </c>
    </row>
    <row r="137">
      <c r="A137" t="n">
        <v>4</v>
      </c>
      <c r="B137" t="n">
        <v>2023</v>
      </c>
      <c r="C137" t="n">
        <v>4</v>
      </c>
      <c r="D137" t="inlineStr">
        <is>
          <t>2023-04</t>
        </is>
      </c>
      <c r="E137" t="n">
        <v>20520000</v>
      </c>
      <c r="F137" t="n">
        <v>0.192</v>
      </c>
    </row>
    <row r="138">
      <c r="A138" t="n">
        <v>4</v>
      </c>
      <c r="B138" t="n">
        <v>2023</v>
      </c>
      <c r="C138" t="n">
        <v>5</v>
      </c>
      <c r="D138" t="inlineStr">
        <is>
          <t>2023-05</t>
        </is>
      </c>
      <c r="E138" t="n">
        <v>16560000</v>
      </c>
      <c r="F138" t="n">
        <v>0.187</v>
      </c>
    </row>
    <row r="139">
      <c r="A139" t="n">
        <v>4</v>
      </c>
      <c r="B139" t="n">
        <v>2023</v>
      </c>
      <c r="C139" t="n">
        <v>6</v>
      </c>
      <c r="D139" t="inlineStr">
        <is>
          <t>2023-06</t>
        </is>
      </c>
      <c r="E139" t="n">
        <v>14040000</v>
      </c>
      <c r="F139" t="n">
        <v>0.189</v>
      </c>
    </row>
    <row r="140">
      <c r="A140" t="n">
        <v>4</v>
      </c>
      <c r="B140" t="n">
        <v>2023</v>
      </c>
      <c r="C140" t="n">
        <v>7</v>
      </c>
      <c r="D140" t="inlineStr">
        <is>
          <t>2023-07</t>
        </is>
      </c>
      <c r="E140" t="n">
        <v>12960000</v>
      </c>
      <c r="F140" t="n">
        <v>0.189</v>
      </c>
    </row>
    <row r="141">
      <c r="A141" t="n">
        <v>4</v>
      </c>
      <c r="B141" t="n">
        <v>2023</v>
      </c>
      <c r="C141" t="n">
        <v>8</v>
      </c>
      <c r="D141" t="inlineStr">
        <is>
          <t>2023-08</t>
        </is>
      </c>
      <c r="E141" t="n">
        <v>14400000</v>
      </c>
      <c r="F141" t="n">
        <v>0.187</v>
      </c>
    </row>
    <row r="142">
      <c r="A142" t="n">
        <v>4</v>
      </c>
      <c r="B142" t="n">
        <v>2023</v>
      </c>
      <c r="C142" t="n">
        <v>9</v>
      </c>
      <c r="D142" t="inlineStr">
        <is>
          <t>2023-09</t>
        </is>
      </c>
      <c r="E142" t="n">
        <v>18360000</v>
      </c>
      <c r="F142" t="n">
        <v>0.187</v>
      </c>
    </row>
    <row r="143">
      <c r="A143" t="n">
        <v>4</v>
      </c>
      <c r="B143" t="n">
        <v>2023</v>
      </c>
      <c r="C143" t="n">
        <v>10</v>
      </c>
      <c r="D143" t="inlineStr">
        <is>
          <t>2023-10</t>
        </is>
      </c>
      <c r="E143" t="n">
        <v>21960000</v>
      </c>
      <c r="F143" t="n">
        <v>0.2</v>
      </c>
    </row>
    <row r="144">
      <c r="A144" t="n">
        <v>4</v>
      </c>
      <c r="B144" t="n">
        <v>2023</v>
      </c>
      <c r="C144" t="n">
        <v>11</v>
      </c>
      <c r="D144" t="inlineStr">
        <is>
          <t>2023-11</t>
        </is>
      </c>
      <c r="E144" t="n">
        <v>21600000</v>
      </c>
      <c r="F144" t="n">
        <v>0.203</v>
      </c>
    </row>
    <row r="145">
      <c r="A145" t="n">
        <v>4</v>
      </c>
      <c r="B145" t="n">
        <v>2023</v>
      </c>
      <c r="C145" t="n">
        <v>12</v>
      </c>
      <c r="D145" t="inlineStr">
        <is>
          <t>2023-12</t>
        </is>
      </c>
      <c r="E145" t="n">
        <v>20880000</v>
      </c>
      <c r="F145" t="n">
        <v>0.199</v>
      </c>
    </row>
    <row r="146">
      <c r="A146" t="n">
        <v>4</v>
      </c>
      <c r="B146" t="n">
        <v>2024</v>
      </c>
      <c r="C146" t="n">
        <v>1</v>
      </c>
      <c r="D146" t="inlineStr">
        <is>
          <t>2024-01</t>
        </is>
      </c>
      <c r="E146" t="n">
        <v>18550000</v>
      </c>
      <c r="F146" t="n">
        <v>0.203</v>
      </c>
    </row>
    <row r="147">
      <c r="A147" t="n">
        <v>4</v>
      </c>
      <c r="B147" t="n">
        <v>2024</v>
      </c>
      <c r="C147" t="n">
        <v>4</v>
      </c>
      <c r="D147" t="inlineStr">
        <is>
          <t>2024-04</t>
        </is>
      </c>
      <c r="E147" t="n">
        <v>22260000</v>
      </c>
      <c r="F147" t="n">
        <v>0.194</v>
      </c>
    </row>
    <row r="148">
      <c r="A148" t="n">
        <v>4</v>
      </c>
      <c r="B148" t="n">
        <v>2024</v>
      </c>
      <c r="C148" t="n">
        <v>5</v>
      </c>
      <c r="D148" t="inlineStr">
        <is>
          <t>2024-05</t>
        </is>
      </c>
      <c r="E148" t="n">
        <v>17970000</v>
      </c>
      <c r="F148" t="n">
        <v>0.193</v>
      </c>
    </row>
    <row r="149">
      <c r="A149" t="n">
        <v>4</v>
      </c>
      <c r="B149" t="n">
        <v>2024</v>
      </c>
      <c r="C149" t="n">
        <v>6</v>
      </c>
      <c r="D149" t="inlineStr">
        <is>
          <t>2024-06</t>
        </is>
      </c>
      <c r="E149" t="n">
        <v>15230000</v>
      </c>
      <c r="F149" t="n">
        <v>0.187</v>
      </c>
    </row>
    <row r="150">
      <c r="A150" t="n">
        <v>4</v>
      </c>
      <c r="B150" t="n">
        <v>2024</v>
      </c>
      <c r="C150" t="n">
        <v>7</v>
      </c>
      <c r="D150" t="inlineStr">
        <is>
          <t>2024-07</t>
        </is>
      </c>
      <c r="E150" t="n">
        <v>14060000</v>
      </c>
      <c r="F150" t="n">
        <v>0.187</v>
      </c>
    </row>
    <row r="151">
      <c r="A151" t="n">
        <v>4</v>
      </c>
      <c r="B151" t="n">
        <v>2024</v>
      </c>
      <c r="C151" t="n">
        <v>8</v>
      </c>
      <c r="D151" t="inlineStr">
        <is>
          <t>2024-08</t>
        </is>
      </c>
      <c r="E151" t="n">
        <v>15620000</v>
      </c>
      <c r="F151" t="n">
        <v>0.203</v>
      </c>
    </row>
    <row r="152">
      <c r="A152" t="n">
        <v>4</v>
      </c>
      <c r="B152" t="n">
        <v>2024</v>
      </c>
      <c r="C152" t="n">
        <v>9</v>
      </c>
      <c r="D152" t="inlineStr">
        <is>
          <t>2024-09</t>
        </is>
      </c>
      <c r="E152" t="n">
        <v>19920000</v>
      </c>
      <c r="F152" t="n">
        <v>0.188</v>
      </c>
    </row>
    <row r="153">
      <c r="A153" t="n">
        <v>4</v>
      </c>
      <c r="B153" t="n">
        <v>2024</v>
      </c>
      <c r="C153" t="n">
        <v>10</v>
      </c>
      <c r="D153" t="inlineStr">
        <is>
          <t>2024-10</t>
        </is>
      </c>
      <c r="E153" t="n">
        <v>23830000</v>
      </c>
      <c r="F153" t="n">
        <v>0.197</v>
      </c>
    </row>
    <row r="154">
      <c r="A154" t="n">
        <v>4</v>
      </c>
      <c r="B154" t="n">
        <v>2024</v>
      </c>
      <c r="C154" t="n">
        <v>11</v>
      </c>
      <c r="D154" t="inlineStr">
        <is>
          <t>2024-11</t>
        </is>
      </c>
      <c r="E154" t="n">
        <v>23440000</v>
      </c>
      <c r="F154" t="n">
        <v>0.187</v>
      </c>
    </row>
    <row r="155">
      <c r="A155" t="n">
        <v>4</v>
      </c>
      <c r="B155" t="n">
        <v>2024</v>
      </c>
      <c r="C155" t="n">
        <v>12</v>
      </c>
      <c r="D155" t="inlineStr">
        <is>
          <t>2024-12</t>
        </is>
      </c>
      <c r="E155" t="n">
        <v>22650000</v>
      </c>
      <c r="F155" t="n">
        <v>0.196</v>
      </c>
    </row>
    <row r="156">
      <c r="A156" t="n">
        <v>4</v>
      </c>
      <c r="B156" t="n">
        <v>2025</v>
      </c>
      <c r="C156" t="n">
        <v>1</v>
      </c>
      <c r="D156" t="inlineStr">
        <is>
          <t>2025-01</t>
        </is>
      </c>
      <c r="E156" t="n">
        <v>20010000</v>
      </c>
      <c r="F156" t="n">
        <v>0.2</v>
      </c>
    </row>
    <row r="157">
      <c r="A157" t="n">
        <v>4</v>
      </c>
      <c r="B157" t="n">
        <v>2025</v>
      </c>
      <c r="C157" t="n">
        <v>2</v>
      </c>
      <c r="D157" t="inlineStr">
        <is>
          <t>2025-02</t>
        </is>
      </c>
      <c r="E157" t="n">
        <v>21060000</v>
      </c>
      <c r="F157" t="n">
        <v>0.195</v>
      </c>
    </row>
    <row r="158">
      <c r="A158" t="n">
        <v>4</v>
      </c>
      <c r="B158" t="n">
        <v>2025</v>
      </c>
      <c r="C158" t="n">
        <v>3</v>
      </c>
      <c r="D158" t="inlineStr">
        <is>
          <t>2025-03</t>
        </is>
      </c>
      <c r="E158" t="n">
        <v>24850000</v>
      </c>
      <c r="F158" t="n">
        <v>0.192</v>
      </c>
    </row>
    <row r="159">
      <c r="A159" t="n">
        <v>4</v>
      </c>
      <c r="B159" t="n">
        <v>2025</v>
      </c>
      <c r="C159" t="n">
        <v>4</v>
      </c>
      <c r="D159" t="inlineStr">
        <is>
          <t>2025-04</t>
        </is>
      </c>
      <c r="E159" t="n">
        <v>24010000</v>
      </c>
      <c r="F159" t="n">
        <v>0.203</v>
      </c>
    </row>
    <row r="160">
      <c r="A160" t="n">
        <v>4</v>
      </c>
      <c r="B160" t="n">
        <v>2025</v>
      </c>
      <c r="C160" t="n">
        <v>5</v>
      </c>
      <c r="D160" t="inlineStr">
        <is>
          <t>2025-05</t>
        </is>
      </c>
      <c r="E160" t="n">
        <v>19380000</v>
      </c>
      <c r="F160" t="n">
        <v>0.196</v>
      </c>
    </row>
    <row r="161">
      <c r="A161" t="n">
        <v>4</v>
      </c>
      <c r="B161" t="n">
        <v>2025</v>
      </c>
      <c r="C161" t="n">
        <v>6</v>
      </c>
      <c r="D161" t="inlineStr">
        <is>
          <t>2025-06</t>
        </is>
      </c>
      <c r="E161" t="n">
        <v>16430000</v>
      </c>
      <c r="F161" t="n">
        <v>0.203</v>
      </c>
    </row>
    <row r="162">
      <c r="A162" t="n">
        <v>4</v>
      </c>
      <c r="B162" t="n">
        <v>2025</v>
      </c>
      <c r="C162" t="n">
        <v>7</v>
      </c>
      <c r="D162" t="inlineStr">
        <is>
          <t>2025-07</t>
        </is>
      </c>
      <c r="E162" t="n">
        <v>15160000</v>
      </c>
      <c r="F162" t="n">
        <v>0.2</v>
      </c>
    </row>
    <row r="163">
      <c r="A163" t="n">
        <v>4</v>
      </c>
      <c r="B163" t="n">
        <v>2025</v>
      </c>
      <c r="C163" t="n">
        <v>8</v>
      </c>
      <c r="D163" t="inlineStr">
        <is>
          <t>2025-08</t>
        </is>
      </c>
      <c r="E163" t="n">
        <v>16850000</v>
      </c>
      <c r="F163" t="n">
        <v>0.189</v>
      </c>
    </row>
    <row r="164">
      <c r="A164" t="n">
        <v>4</v>
      </c>
      <c r="B164" t="n">
        <v>2025</v>
      </c>
      <c r="C164" t="n">
        <v>9</v>
      </c>
      <c r="D164" t="inlineStr">
        <is>
          <t>2025-09</t>
        </is>
      </c>
      <c r="E164" t="n">
        <v>21480000</v>
      </c>
      <c r="F164" t="n">
        <v>0.201</v>
      </c>
    </row>
    <row r="165">
      <c r="A165" t="n">
        <v>4</v>
      </c>
      <c r="B165" t="n">
        <v>2025</v>
      </c>
      <c r="C165" t="n">
        <v>10</v>
      </c>
      <c r="D165" t="inlineStr">
        <is>
          <t>2025-10</t>
        </is>
      </c>
      <c r="E165" t="n">
        <v>25690000</v>
      </c>
      <c r="F165" t="n">
        <v>0.2</v>
      </c>
    </row>
    <row r="166">
      <c r="A166" t="n">
        <v>4</v>
      </c>
      <c r="B166" t="n">
        <v>2025</v>
      </c>
      <c r="C166" t="n">
        <v>11</v>
      </c>
      <c r="D166" t="inlineStr">
        <is>
          <t>2025-11</t>
        </is>
      </c>
      <c r="E166" t="n">
        <v>25270000</v>
      </c>
      <c r="F166" t="n">
        <v>0.192</v>
      </c>
    </row>
    <row r="167">
      <c r="A167" t="n">
        <v>4</v>
      </c>
      <c r="B167" t="n">
        <v>2025</v>
      </c>
      <c r="C167" t="n">
        <v>12</v>
      </c>
      <c r="D167" t="inlineStr">
        <is>
          <t>2025-12</t>
        </is>
      </c>
      <c r="E167" t="n">
        <v>24430000</v>
      </c>
      <c r="F167" t="n">
        <v>0.19</v>
      </c>
    </row>
    <row r="168">
      <c r="A168" t="n">
        <v>4</v>
      </c>
      <c r="B168" t="n">
        <v>2026</v>
      </c>
      <c r="C168" t="n">
        <v>1</v>
      </c>
      <c r="D168" t="inlineStr">
        <is>
          <t>2026-01</t>
        </is>
      </c>
      <c r="E168" t="n">
        <v>21460000</v>
      </c>
      <c r="F168" t="n">
        <v>0.187</v>
      </c>
    </row>
    <row r="169">
      <c r="A169" t="n">
        <v>4</v>
      </c>
      <c r="B169" t="n">
        <v>2026</v>
      </c>
      <c r="C169" t="n">
        <v>2</v>
      </c>
      <c r="D169" t="inlineStr">
        <is>
          <t>2026-02</t>
        </is>
      </c>
      <c r="E169" t="n">
        <v>22590000</v>
      </c>
      <c r="F169" t="n">
        <v>0.201</v>
      </c>
    </row>
    <row r="170">
      <c r="A170" t="n">
        <v>4</v>
      </c>
      <c r="B170" t="n">
        <v>2026</v>
      </c>
      <c r="C170" t="n">
        <v>3</v>
      </c>
      <c r="D170" t="inlineStr">
        <is>
          <t>2026-03</t>
        </is>
      </c>
      <c r="E170" t="n">
        <v>26660000</v>
      </c>
      <c r="F170" t="n">
        <v>0.191</v>
      </c>
    </row>
    <row r="171">
      <c r="A171" t="n">
        <v>4</v>
      </c>
      <c r="B171" t="n">
        <v>2026</v>
      </c>
      <c r="C171" t="n">
        <v>4</v>
      </c>
      <c r="D171" t="inlineStr">
        <is>
          <t>2026-04</t>
        </is>
      </c>
      <c r="E171" t="n">
        <v>25750000</v>
      </c>
      <c r="F171" t="n">
        <v>0.199</v>
      </c>
    </row>
    <row r="172">
      <c r="A172" t="n">
        <v>4</v>
      </c>
      <c r="B172" t="n">
        <v>2026</v>
      </c>
      <c r="C172" t="n">
        <v>5</v>
      </c>
      <c r="D172" t="inlineStr">
        <is>
          <t>2026-05</t>
        </is>
      </c>
      <c r="E172" t="n">
        <v>20780000</v>
      </c>
      <c r="F172" t="n">
        <v>0.186</v>
      </c>
    </row>
    <row r="173">
      <c r="A173" t="n">
        <v>4</v>
      </c>
      <c r="B173" t="n">
        <v>2026</v>
      </c>
      <c r="C173" t="n">
        <v>6</v>
      </c>
      <c r="D173" t="inlineStr">
        <is>
          <t>2026-06</t>
        </is>
      </c>
      <c r="E173" t="n">
        <v>17620000</v>
      </c>
      <c r="F173" t="n">
        <v>0.199</v>
      </c>
    </row>
    <row r="174">
      <c r="A174" t="n">
        <v>4</v>
      </c>
      <c r="B174" t="n">
        <v>2026</v>
      </c>
      <c r="C174" t="n">
        <v>7</v>
      </c>
      <c r="D174" t="inlineStr">
        <is>
          <t>2026-07</t>
        </is>
      </c>
      <c r="E174" t="n">
        <v>16260000</v>
      </c>
      <c r="F174" t="n">
        <v>0.19</v>
      </c>
    </row>
    <row r="175">
      <c r="A175" t="n">
        <v>4</v>
      </c>
      <c r="B175" t="n">
        <v>2026</v>
      </c>
      <c r="C175" t="n">
        <v>8</v>
      </c>
      <c r="D175" t="inlineStr">
        <is>
          <t>2026-08</t>
        </is>
      </c>
      <c r="E175" t="n">
        <v>18070000</v>
      </c>
      <c r="F175" t="n">
        <v>0.199</v>
      </c>
    </row>
    <row r="176">
      <c r="A176" t="n">
        <v>5</v>
      </c>
      <c r="B176" t="n">
        <v>2023</v>
      </c>
      <c r="C176" t="n">
        <v>1</v>
      </c>
      <c r="D176" t="inlineStr">
        <is>
          <t>2023-01</t>
        </is>
      </c>
      <c r="E176" t="n">
        <v>13300000</v>
      </c>
      <c r="F176" t="n">
        <v>0.199</v>
      </c>
    </row>
    <row r="177">
      <c r="A177" t="n">
        <v>5</v>
      </c>
      <c r="B177" t="n">
        <v>2023</v>
      </c>
      <c r="C177" t="n">
        <v>2</v>
      </c>
      <c r="D177" t="inlineStr">
        <is>
          <t>2023-02</t>
        </is>
      </c>
      <c r="E177" t="n">
        <v>14000000</v>
      </c>
      <c r="F177" t="n">
        <v>0.188</v>
      </c>
    </row>
    <row r="178">
      <c r="A178" t="n">
        <v>5</v>
      </c>
      <c r="B178" t="n">
        <v>2023</v>
      </c>
      <c r="C178" t="n">
        <v>3</v>
      </c>
      <c r="D178" t="inlineStr">
        <is>
          <t>2023-03</t>
        </is>
      </c>
      <c r="E178" t="n">
        <v>16520000</v>
      </c>
      <c r="F178" t="n">
        <v>0.19</v>
      </c>
    </row>
    <row r="179">
      <c r="A179" t="n">
        <v>5</v>
      </c>
      <c r="B179" t="n">
        <v>2023</v>
      </c>
      <c r="C179" t="n">
        <v>4</v>
      </c>
      <c r="D179" t="inlineStr">
        <is>
          <t>2023-04</t>
        </is>
      </c>
      <c r="E179" t="n">
        <v>15960000</v>
      </c>
      <c r="F179" t="n">
        <v>0.186</v>
      </c>
    </row>
    <row r="180">
      <c r="A180" t="n">
        <v>5</v>
      </c>
      <c r="B180" t="n">
        <v>2023</v>
      </c>
      <c r="C180" t="n">
        <v>5</v>
      </c>
      <c r="D180" t="inlineStr">
        <is>
          <t>2023-05</t>
        </is>
      </c>
      <c r="E180" t="n">
        <v>12880000</v>
      </c>
      <c r="F180" t="n">
        <v>0.199</v>
      </c>
    </row>
    <row r="181">
      <c r="A181" t="n">
        <v>5</v>
      </c>
      <c r="B181" t="n">
        <v>2023</v>
      </c>
      <c r="C181" t="n">
        <v>6</v>
      </c>
      <c r="D181" t="inlineStr">
        <is>
          <t>2023-06</t>
        </is>
      </c>
      <c r="E181" t="n">
        <v>10920000</v>
      </c>
      <c r="F181" t="n">
        <v>0.204</v>
      </c>
    </row>
    <row r="182">
      <c r="A182" t="n">
        <v>5</v>
      </c>
      <c r="B182" t="n">
        <v>2023</v>
      </c>
      <c r="C182" t="n">
        <v>7</v>
      </c>
      <c r="D182" t="inlineStr">
        <is>
          <t>2023-07</t>
        </is>
      </c>
      <c r="E182" t="n">
        <v>10080000</v>
      </c>
      <c r="F182" t="n">
        <v>0.188</v>
      </c>
    </row>
    <row r="183">
      <c r="A183" t="n">
        <v>5</v>
      </c>
      <c r="B183" t="n">
        <v>2023</v>
      </c>
      <c r="C183" t="n">
        <v>8</v>
      </c>
      <c r="D183" t="inlineStr">
        <is>
          <t>2023-08</t>
        </is>
      </c>
      <c r="E183" t="n">
        <v>11200000</v>
      </c>
      <c r="F183" t="n">
        <v>0.203</v>
      </c>
    </row>
    <row r="184">
      <c r="A184" t="n">
        <v>5</v>
      </c>
      <c r="B184" t="n">
        <v>2023</v>
      </c>
      <c r="C184" t="n">
        <v>9</v>
      </c>
      <c r="D184" t="inlineStr">
        <is>
          <t>2023-09</t>
        </is>
      </c>
      <c r="E184" t="n">
        <v>14280000</v>
      </c>
      <c r="F184" t="n">
        <v>0.185</v>
      </c>
    </row>
    <row r="185">
      <c r="A185" t="n">
        <v>5</v>
      </c>
      <c r="B185" t="n">
        <v>2023</v>
      </c>
      <c r="C185" t="n">
        <v>10</v>
      </c>
      <c r="D185" t="inlineStr">
        <is>
          <t>2023-10</t>
        </is>
      </c>
      <c r="E185" t="n">
        <v>17080000</v>
      </c>
      <c r="F185" t="n">
        <v>0.189</v>
      </c>
    </row>
    <row r="186">
      <c r="A186" t="n">
        <v>5</v>
      </c>
      <c r="B186" t="n">
        <v>2023</v>
      </c>
      <c r="C186" t="n">
        <v>11</v>
      </c>
      <c r="D186" t="inlineStr">
        <is>
          <t>2023-11</t>
        </is>
      </c>
      <c r="E186" t="n">
        <v>16800000</v>
      </c>
      <c r="F186" t="n">
        <v>0.193</v>
      </c>
    </row>
    <row r="187">
      <c r="A187" t="n">
        <v>5</v>
      </c>
      <c r="B187" t="n">
        <v>2023</v>
      </c>
      <c r="C187" t="n">
        <v>12</v>
      </c>
      <c r="D187" t="inlineStr">
        <is>
          <t>2023-12</t>
        </is>
      </c>
      <c r="E187" t="n">
        <v>16240000</v>
      </c>
      <c r="F187" t="n">
        <v>0.201</v>
      </c>
    </row>
    <row r="188">
      <c r="A188" t="n">
        <v>5</v>
      </c>
      <c r="B188" t="n">
        <v>2024</v>
      </c>
      <c r="C188" t="n">
        <v>1</v>
      </c>
      <c r="D188" t="inlineStr">
        <is>
          <t>2024-01</t>
        </is>
      </c>
      <c r="E188" t="n">
        <v>14430000</v>
      </c>
      <c r="F188" t="n">
        <v>0.186</v>
      </c>
    </row>
    <row r="189">
      <c r="A189" t="n">
        <v>5</v>
      </c>
      <c r="B189" t="n">
        <v>2024</v>
      </c>
      <c r="C189" t="n">
        <v>2</v>
      </c>
      <c r="D189" t="inlineStr">
        <is>
          <t>2024-02</t>
        </is>
      </c>
      <c r="E189" t="n">
        <v>15190000</v>
      </c>
      <c r="F189" t="n">
        <v>0.19</v>
      </c>
    </row>
    <row r="190">
      <c r="A190" t="n">
        <v>5</v>
      </c>
      <c r="B190" t="n">
        <v>2024</v>
      </c>
      <c r="C190" t="n">
        <v>3</v>
      </c>
      <c r="D190" t="inlineStr">
        <is>
          <t>2024-03</t>
        </is>
      </c>
      <c r="E190" t="n">
        <v>17920000</v>
      </c>
      <c r="F190" t="n">
        <v>0.2</v>
      </c>
    </row>
    <row r="191">
      <c r="A191" t="n">
        <v>5</v>
      </c>
      <c r="B191" t="n">
        <v>2024</v>
      </c>
      <c r="C191" t="n">
        <v>4</v>
      </c>
      <c r="D191" t="inlineStr">
        <is>
          <t>2024-04</t>
        </is>
      </c>
      <c r="E191" t="n">
        <v>17320000</v>
      </c>
      <c r="F191" t="n">
        <v>0.188</v>
      </c>
    </row>
    <row r="192">
      <c r="A192" t="n">
        <v>5</v>
      </c>
      <c r="B192" t="n">
        <v>2024</v>
      </c>
      <c r="C192" t="n">
        <v>5</v>
      </c>
      <c r="D192" t="inlineStr">
        <is>
          <t>2024-05</t>
        </is>
      </c>
      <c r="E192" t="n">
        <v>13970000</v>
      </c>
      <c r="F192" t="n">
        <v>0.201</v>
      </c>
    </row>
    <row r="193">
      <c r="A193" t="n">
        <v>5</v>
      </c>
      <c r="B193" t="n">
        <v>2024</v>
      </c>
      <c r="C193" t="n">
        <v>6</v>
      </c>
      <c r="D193" t="inlineStr">
        <is>
          <t>2024-06</t>
        </is>
      </c>
      <c r="E193" t="n">
        <v>11850000</v>
      </c>
      <c r="F193" t="n">
        <v>0.197</v>
      </c>
    </row>
    <row r="194">
      <c r="A194" t="n">
        <v>5</v>
      </c>
      <c r="B194" t="n">
        <v>2024</v>
      </c>
      <c r="C194" t="n">
        <v>7</v>
      </c>
      <c r="D194" t="inlineStr">
        <is>
          <t>2024-07</t>
        </is>
      </c>
      <c r="E194" t="n">
        <v>10940000</v>
      </c>
      <c r="F194" t="n">
        <v>0.202</v>
      </c>
    </row>
    <row r="195">
      <c r="A195" t="n">
        <v>5</v>
      </c>
      <c r="B195" t="n">
        <v>2024</v>
      </c>
      <c r="C195" t="n">
        <v>8</v>
      </c>
      <c r="D195" t="inlineStr">
        <is>
          <t>2024-08</t>
        </is>
      </c>
      <c r="E195" t="n">
        <v>12150000</v>
      </c>
      <c r="F195" t="n">
        <v>0.2</v>
      </c>
    </row>
    <row r="196">
      <c r="A196" t="n">
        <v>5</v>
      </c>
      <c r="B196" t="n">
        <v>2024</v>
      </c>
      <c r="C196" t="n">
        <v>9</v>
      </c>
      <c r="D196" t="inlineStr">
        <is>
          <t>2024-09</t>
        </is>
      </c>
      <c r="E196" t="n">
        <v>15490000</v>
      </c>
      <c r="F196" t="n">
        <v>0.195</v>
      </c>
    </row>
    <row r="197">
      <c r="A197" t="n">
        <v>5</v>
      </c>
      <c r="B197" t="n">
        <v>2024</v>
      </c>
      <c r="C197" t="n">
        <v>10</v>
      </c>
      <c r="D197" t="inlineStr">
        <is>
          <t>2024-10</t>
        </is>
      </c>
      <c r="E197" t="n">
        <v>18530000</v>
      </c>
      <c r="F197" t="n">
        <v>0.197</v>
      </c>
    </row>
    <row r="198">
      <c r="A198" t="n">
        <v>5</v>
      </c>
      <c r="B198" t="n">
        <v>2024</v>
      </c>
      <c r="C198" t="n">
        <v>11</v>
      </c>
      <c r="D198" t="inlineStr">
        <is>
          <t>2024-11</t>
        </is>
      </c>
      <c r="E198" t="n">
        <v>18230000</v>
      </c>
      <c r="F198" t="n">
        <v>0.193</v>
      </c>
    </row>
    <row r="199">
      <c r="A199" t="n">
        <v>5</v>
      </c>
      <c r="B199" t="n">
        <v>2024</v>
      </c>
      <c r="C199" t="n">
        <v>12</v>
      </c>
      <c r="D199" t="inlineStr">
        <is>
          <t>2024-12</t>
        </is>
      </c>
      <c r="E199" t="n">
        <v>17620000</v>
      </c>
      <c r="F199" t="n">
        <v>0.19</v>
      </c>
    </row>
    <row r="200">
      <c r="A200" t="n">
        <v>5</v>
      </c>
      <c r="B200" t="n">
        <v>2025</v>
      </c>
      <c r="C200" t="n">
        <v>1</v>
      </c>
      <c r="D200" t="inlineStr">
        <is>
          <t>2025-01</t>
        </is>
      </c>
      <c r="E200" t="n">
        <v>15560000</v>
      </c>
      <c r="F200" t="n">
        <v>0.201</v>
      </c>
    </row>
    <row r="201">
      <c r="A201" t="n">
        <v>5</v>
      </c>
      <c r="B201" t="n">
        <v>2025</v>
      </c>
      <c r="C201" t="n">
        <v>2</v>
      </c>
      <c r="D201" t="inlineStr">
        <is>
          <t>2025-02</t>
        </is>
      </c>
      <c r="E201" t="n">
        <v>16380000</v>
      </c>
      <c r="F201" t="n">
        <v>0.193</v>
      </c>
    </row>
    <row r="202">
      <c r="A202" t="n">
        <v>5</v>
      </c>
      <c r="B202" t="n">
        <v>2025</v>
      </c>
      <c r="C202" t="n">
        <v>3</v>
      </c>
      <c r="D202" t="inlineStr">
        <is>
          <t>2025-03</t>
        </is>
      </c>
      <c r="E202" t="n">
        <v>19330000</v>
      </c>
      <c r="F202" t="n">
        <v>0.199</v>
      </c>
    </row>
    <row r="203">
      <c r="A203" t="n">
        <v>5</v>
      </c>
      <c r="B203" t="n">
        <v>2025</v>
      </c>
      <c r="C203" t="n">
        <v>4</v>
      </c>
      <c r="D203" t="inlineStr">
        <is>
          <t>2025-04</t>
        </is>
      </c>
      <c r="E203" t="n">
        <v>18670000</v>
      </c>
      <c r="F203" t="n">
        <v>0.193</v>
      </c>
    </row>
    <row r="204">
      <c r="A204" t="n">
        <v>5</v>
      </c>
      <c r="B204" t="n">
        <v>2025</v>
      </c>
      <c r="C204" t="n">
        <v>5</v>
      </c>
      <c r="D204" t="inlineStr">
        <is>
          <t>2025-05</t>
        </is>
      </c>
      <c r="E204" t="n">
        <v>15070000</v>
      </c>
      <c r="F204" t="n">
        <v>0.204</v>
      </c>
    </row>
    <row r="205">
      <c r="A205" t="n">
        <v>5</v>
      </c>
      <c r="B205" t="n">
        <v>2025</v>
      </c>
      <c r="C205" t="n">
        <v>6</v>
      </c>
      <c r="D205" t="inlineStr">
        <is>
          <t>2025-06</t>
        </is>
      </c>
      <c r="E205" t="n">
        <v>12780000</v>
      </c>
      <c r="F205" t="n">
        <v>0.199</v>
      </c>
    </row>
    <row r="206">
      <c r="A206" t="n">
        <v>5</v>
      </c>
      <c r="B206" t="n">
        <v>2025</v>
      </c>
      <c r="C206" t="n">
        <v>7</v>
      </c>
      <c r="D206" t="inlineStr">
        <is>
          <t>2025-07</t>
        </is>
      </c>
      <c r="E206" t="n">
        <v>11790000</v>
      </c>
      <c r="F206" t="n">
        <v>0.187</v>
      </c>
    </row>
    <row r="207">
      <c r="A207" t="n">
        <v>5</v>
      </c>
      <c r="B207" t="n">
        <v>2025</v>
      </c>
      <c r="C207" t="n">
        <v>8</v>
      </c>
      <c r="D207" t="inlineStr">
        <is>
          <t>2025-08</t>
        </is>
      </c>
      <c r="E207" t="n">
        <v>13100000</v>
      </c>
      <c r="F207" t="n">
        <v>0.193</v>
      </c>
    </row>
    <row r="208">
      <c r="A208" t="n">
        <v>5</v>
      </c>
      <c r="B208" t="n">
        <v>2025</v>
      </c>
      <c r="C208" t="n">
        <v>9</v>
      </c>
      <c r="D208" t="inlineStr">
        <is>
          <t>2025-09</t>
        </is>
      </c>
      <c r="E208" t="n">
        <v>16710000</v>
      </c>
      <c r="F208" t="n">
        <v>0.195</v>
      </c>
    </row>
    <row r="209">
      <c r="A209" t="n">
        <v>5</v>
      </c>
      <c r="B209" t="n">
        <v>2025</v>
      </c>
      <c r="C209" t="n">
        <v>10</v>
      </c>
      <c r="D209" t="inlineStr">
        <is>
          <t>2025-10</t>
        </is>
      </c>
      <c r="E209" t="n">
        <v>19980000</v>
      </c>
      <c r="F209" t="n">
        <v>0.201</v>
      </c>
    </row>
    <row r="210">
      <c r="A210" t="n">
        <v>5</v>
      </c>
      <c r="B210" t="n">
        <v>2025</v>
      </c>
      <c r="C210" t="n">
        <v>11</v>
      </c>
      <c r="D210" t="inlineStr">
        <is>
          <t>2025-11</t>
        </is>
      </c>
      <c r="E210" t="n">
        <v>19660000</v>
      </c>
      <c r="F210" t="n">
        <v>0.201</v>
      </c>
    </row>
    <row r="211">
      <c r="A211" t="n">
        <v>5</v>
      </c>
      <c r="B211" t="n">
        <v>2025</v>
      </c>
      <c r="C211" t="n">
        <v>12</v>
      </c>
      <c r="D211" t="inlineStr">
        <is>
          <t>2025-12</t>
        </is>
      </c>
      <c r="E211" t="n">
        <v>19000000</v>
      </c>
      <c r="F211" t="n">
        <v>0.196</v>
      </c>
    </row>
    <row r="212">
      <c r="A212" t="n">
        <v>5</v>
      </c>
      <c r="B212" t="n">
        <v>2026</v>
      </c>
      <c r="C212" t="n">
        <v>1</v>
      </c>
      <c r="D212" t="inlineStr">
        <is>
          <t>2026-01</t>
        </is>
      </c>
      <c r="E212" t="n">
        <v>16690000</v>
      </c>
      <c r="F212" t="n">
        <v>0.2</v>
      </c>
    </row>
    <row r="213">
      <c r="A213" t="n">
        <v>5</v>
      </c>
      <c r="B213" t="n">
        <v>2026</v>
      </c>
      <c r="C213" t="n">
        <v>2</v>
      </c>
      <c r="D213" t="inlineStr">
        <is>
          <t>2026-02</t>
        </is>
      </c>
      <c r="E213" t="n">
        <v>17570000</v>
      </c>
      <c r="F213" t="n">
        <v>0.193</v>
      </c>
    </row>
    <row r="214">
      <c r="A214" t="n">
        <v>5</v>
      </c>
      <c r="B214" t="n">
        <v>2026</v>
      </c>
      <c r="C214" t="n">
        <v>3</v>
      </c>
      <c r="D214" t="inlineStr">
        <is>
          <t>2026-03</t>
        </is>
      </c>
      <c r="E214" t="n">
        <v>20730000</v>
      </c>
      <c r="F214" t="n">
        <v>0.187</v>
      </c>
    </row>
    <row r="215">
      <c r="A215" t="n">
        <v>5</v>
      </c>
      <c r="B215" t="n">
        <v>2026</v>
      </c>
      <c r="C215" t="n">
        <v>4</v>
      </c>
      <c r="D215" t="inlineStr">
        <is>
          <t>2026-04</t>
        </is>
      </c>
      <c r="E215" t="n">
        <v>20030000</v>
      </c>
      <c r="F215" t="n">
        <v>0.19</v>
      </c>
    </row>
    <row r="216">
      <c r="A216" t="n">
        <v>5</v>
      </c>
      <c r="B216" t="n">
        <v>2026</v>
      </c>
      <c r="C216" t="n">
        <v>5</v>
      </c>
      <c r="D216" t="inlineStr">
        <is>
          <t>2026-05</t>
        </is>
      </c>
      <c r="E216" t="n">
        <v>16160000</v>
      </c>
      <c r="F216" t="n">
        <v>0.189</v>
      </c>
    </row>
    <row r="217">
      <c r="A217" t="n">
        <v>5</v>
      </c>
      <c r="B217" t="n">
        <v>2026</v>
      </c>
      <c r="C217" t="n">
        <v>6</v>
      </c>
      <c r="D217" t="inlineStr">
        <is>
          <t>2026-06</t>
        </is>
      </c>
      <c r="E217" t="n">
        <v>13700000</v>
      </c>
      <c r="F217" t="n">
        <v>0.189</v>
      </c>
    </row>
    <row r="218">
      <c r="A218" t="n">
        <v>5</v>
      </c>
      <c r="B218" t="n">
        <v>2026</v>
      </c>
      <c r="C218" t="n">
        <v>7</v>
      </c>
      <c r="D218" t="inlineStr">
        <is>
          <t>2026-07</t>
        </is>
      </c>
      <c r="E218" t="n">
        <v>12650000</v>
      </c>
      <c r="F218" t="n">
        <v>0.187</v>
      </c>
    </row>
    <row r="219">
      <c r="A219" t="n">
        <v>5</v>
      </c>
      <c r="B219" t="n">
        <v>2026</v>
      </c>
      <c r="C219" t="n">
        <v>8</v>
      </c>
      <c r="D219" t="inlineStr">
        <is>
          <t>2026-08</t>
        </is>
      </c>
      <c r="E219" t="n">
        <v>14060000</v>
      </c>
      <c r="F219" t="n">
        <v>0.194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0" customWidth="1" min="4" max="4"/>
    <col width="30" customWidth="1" min="5" max="5"/>
    <col width="12" customWidth="1" min="6" max="6"/>
    <col width="74" customWidth="1" min="7" max="7"/>
  </cols>
  <sheetData>
    <row r="1">
      <c r="A1" s="3" t="inlineStr">
        <is>
          <t>n°</t>
        </is>
      </c>
      <c r="B1" s="3" t="inlineStr">
        <is>
          <t>Fonction (telle que l'affiche Excel FR)</t>
        </is>
      </c>
      <c r="C1" s="3" t="inlineStr">
        <is>
          <t>Formule, telle qu'elle est stockée</t>
        </is>
      </c>
      <c r="D1" s="3" t="inlineStr">
        <is>
          <t>Valeur que la formule doit rendre</t>
        </is>
      </c>
      <c r="E1" s="3" t="inlineStr">
        <is>
          <t>Ce que la formule rend</t>
        </is>
      </c>
      <c r="F1" s="3" t="inlineStr">
        <is>
          <t>contrôle</t>
        </is>
      </c>
    </row>
    <row r="2">
      <c r="A2" t="n">
        <v>1</v>
      </c>
      <c r="B2" t="inlineStr">
        <is>
          <t>NB sur la colonne des montants</t>
        </is>
      </c>
      <c r="C2" s="7" t="inlineStr">
        <is>
          <t>COUNT(ventes!M2:M481)</t>
        </is>
      </c>
      <c r="D2" s="8" t="n">
        <v>480</v>
      </c>
      <c r="E2" s="8">
        <f>COUNT(ventes!M2:M481)</f>
        <v/>
      </c>
      <c r="F2">
        <f>IF(EXACT(D2,E2),"ok","à revoir")</f>
        <v/>
      </c>
      <c r="G2" s="2" t="inlineStr">
        <is>
          <t>les 480 montants réellement numériques de la feuille nettoyée</t>
        </is>
      </c>
    </row>
    <row r="3">
      <c r="A3" t="n">
        <v>2</v>
      </c>
      <c r="B3" t="inlineStr">
        <is>
          <t>NBVAL — compter tout ce qui est écrit</t>
        </is>
      </c>
      <c r="C3" s="7" t="inlineStr">
        <is>
          <t>COUNTA(ventes_brutes!A2:A490)</t>
        </is>
      </c>
      <c r="D3" s="8" t="n">
        <v>489</v>
      </c>
      <c r="E3" s="8">
        <f>COUNTA(ventes_brutes!A2:A490)</f>
        <v/>
      </c>
      <c r="F3">
        <f>IF(EXACT(D3,E3),"ok","à revoir")</f>
        <v/>
      </c>
      <c r="G3" s="2" t="inlineStr">
        <is>
          <t>les 489 lignes reçues, nombres et textes confondus</t>
        </is>
      </c>
    </row>
    <row r="4">
      <c r="A4" t="n">
        <v>3</v>
      </c>
      <c r="B4" t="inlineStr">
        <is>
          <t>NB appliqué aux montants reçus</t>
        </is>
      </c>
      <c r="C4" s="7" t="inlineStr">
        <is>
          <t>COUNT(ventes_brutes!M2:M490)</t>
        </is>
      </c>
      <c r="D4" s="8" t="n">
        <v>0</v>
      </c>
      <c r="E4" s="8">
        <f>COUNT(ventes_brutes!M2:M490)</f>
        <v/>
      </c>
      <c r="F4">
        <f>IF(EXACT(D4,E4),"ok","à revoir")</f>
        <v/>
      </c>
      <c r="G4" s="2" t="inlineStr">
        <is>
          <t>le symptôme de l'import raté, dans le classeur : 0 montant numérique sur 489. Le CSV reçu en contient 3 (lignes 88, 179, 236), mais en collant la feuille dans un classeur ils redeviennent du texte — voyez C02 §5.1.</t>
        </is>
      </c>
    </row>
    <row r="5">
      <c r="A5" t="n">
        <v>4</v>
      </c>
      <c r="B5" t="inlineStr">
        <is>
          <t>SOMME sur la feuille reçue</t>
        </is>
      </c>
      <c r="C5" s="7" t="inlineStr">
        <is>
          <t>SUM(ventes_brutes!M2:M490)</t>
        </is>
      </c>
      <c r="D5" s="8" t="n">
        <v>0</v>
      </c>
      <c r="E5" s="8">
        <f>SUM(ventes_brutes!M2:M490)</f>
        <v/>
      </c>
      <c r="F5">
        <f>IF(EXACT(D5,E5),"ok","à revoir")</f>
        <v/>
      </c>
      <c r="G5" s="2" t="inlineStr">
        <is>
          <t>le cas le plus dangereux du module : un total faux, zéro franc, et aucune erreur affichée. Le même =SOMME() sur le CSV importé avec conversion rend 2 444 FCFA — les 3 lignes saisies sans séparateur de milliers (lignes 88, 179, 236), et rien de plus.</t>
        </is>
      </c>
    </row>
    <row r="6">
      <c r="A6" t="n">
        <v>5</v>
      </c>
      <c r="B6" t="inlineStr">
        <is>
          <t>SOMME</t>
        </is>
      </c>
      <c r="C6" s="7" t="inlineStr">
        <is>
          <t>SUM(ventes!M2:M481)</t>
        </is>
      </c>
      <c r="D6" s="8" t="n">
        <v>36073185</v>
      </c>
      <c r="E6" s="8">
        <f>SUM(ventes!M2:M481)</f>
        <v/>
      </c>
      <c r="F6">
        <f>IF(EXACT(D6,E6),"ok","à revoir")</f>
        <v/>
      </c>
      <c r="G6" s="2" t="inlineStr">
        <is>
          <t>le total de référence du module, sur la feuille nettoyée</t>
        </is>
      </c>
    </row>
    <row r="7">
      <c r="A7" t="n">
        <v>6</v>
      </c>
      <c r="B7" t="inlineStr">
        <is>
          <t>MOYENNE</t>
        </is>
      </c>
      <c r="C7" s="7" t="inlineStr">
        <is>
          <t>AVERAGE(ventes!M2:M481)</t>
        </is>
      </c>
      <c r="D7" s="8" t="n">
        <v>75152</v>
      </c>
      <c r="E7" s="8">
        <f>AVERAGE(ventes!M2:M481)</f>
        <v/>
      </c>
      <c r="F7">
        <f>IF(EXACT(D7,E7),"ok","à revoir")</f>
        <v/>
      </c>
      <c r="G7" s="2" t="inlineStr">
        <is>
          <t>au niveau de la ligne, pas du ticket</t>
        </is>
      </c>
    </row>
    <row r="8">
      <c r="A8" t="n">
        <v>7</v>
      </c>
      <c r="B8" t="inlineStr">
        <is>
          <t>MEDIANE</t>
        </is>
      </c>
      <c r="C8" s="7" t="inlineStr">
        <is>
          <t>MEDIAN(ventes!M2:M481)</t>
        </is>
      </c>
      <c r="D8" s="8" t="n">
        <v>37966</v>
      </c>
      <c r="E8" s="8">
        <f>MEDIAN(ventes!M2:M481)</f>
        <v/>
      </c>
      <c r="F8">
        <f>IF(EXACT(D8,E8),"ok","à revoir")</f>
        <v/>
      </c>
      <c r="G8" s="2" t="inlineStr">
        <is>
          <t>le centre robuste du module M02</t>
        </is>
      </c>
    </row>
    <row r="9">
      <c r="A9" t="n">
        <v>8</v>
      </c>
      <c r="B9" t="inlineStr">
        <is>
          <t>ECARTYPE.STANDARD</t>
        </is>
      </c>
      <c r="C9" s="7" t="inlineStr">
        <is>
          <t>STDEV.S(ventes!M2:M481)</t>
        </is>
      </c>
      <c r="D9" s="8" t="n">
        <v>143915</v>
      </c>
      <c r="E9" s="8">
        <f>STDEV.S(ventes!M2:M481)</f>
        <v/>
      </c>
      <c r="F9">
        <f>IF(EXACT(D9,E9),"ok","à revoir")</f>
        <v/>
      </c>
      <c r="G9" s="2" t="inlineStr">
        <is>
          <t>dispersion sur échantillon</t>
        </is>
      </c>
    </row>
    <row r="10">
      <c r="A10" t="n">
        <v>9</v>
      </c>
      <c r="B10" t="inlineStr">
        <is>
          <t>MAX</t>
        </is>
      </c>
      <c r="C10" s="7" t="inlineStr">
        <is>
          <t>MAX(ventes!M2:M481)</t>
        </is>
      </c>
      <c r="D10" s="8" t="n">
        <v>1229678</v>
      </c>
      <c r="E10" s="8">
        <f>MAX(ventes!M2:M481)</f>
        <v/>
      </c>
      <c r="F10">
        <f>IF(EXACT(D10,E10),"ok","à revoir")</f>
        <v/>
      </c>
      <c r="G10" s="2" t="inlineStr">
        <is>
          <t>et sa voisine MIN, qui est négative</t>
        </is>
      </c>
    </row>
    <row r="11">
      <c r="A11" t="n">
        <v>10</v>
      </c>
      <c r="B11" t="inlineStr">
        <is>
          <t>MIN</t>
        </is>
      </c>
      <c r="C11" s="7" t="inlineStr">
        <is>
          <t>MIN(ventes!M2:M481)</t>
        </is>
      </c>
      <c r="D11" s="8" t="n">
        <v>-150804</v>
      </c>
      <c r="E11" s="8">
        <f>MIN(ventes!M2:M481)</f>
        <v/>
      </c>
      <c r="F11">
        <f>IF(EXACT(D11,E11),"ok","à revoir")</f>
        <v/>
      </c>
      <c r="G11" s="2" t="inlineStr">
        <is>
          <t>un retour de marchandise, pas une saisie farfelue</t>
        </is>
      </c>
    </row>
    <row r="12">
      <c r="A12" t="n">
        <v>11</v>
      </c>
      <c r="B12" t="inlineStr">
        <is>
          <t>QUARTILE.INC · premier</t>
        </is>
      </c>
      <c r="C12" s="7" t="inlineStr">
        <is>
          <t>QUARTILE.INC(ventes!M2:M481,1)</t>
        </is>
      </c>
      <c r="D12" s="8" t="n">
        <v>12950</v>
      </c>
      <c r="E12" s="8">
        <f>QUARTILE.INC(ventes!M2:M481,1)</f>
        <v/>
      </c>
      <c r="F12">
        <f>IF(EXACT(D12,E12),"ok","à revoir")</f>
        <v/>
      </c>
      <c r="G12" s="2" t="inlineStr">
        <is>
          <t>méthode inclusive, celle d'Excel 2010 et suivants</t>
        </is>
      </c>
    </row>
    <row r="13">
      <c r="A13" t="n">
        <v>12</v>
      </c>
      <c r="B13" t="inlineStr">
        <is>
          <t>QUARTILE.INC · troisième</t>
        </is>
      </c>
      <c r="C13" s="7" t="inlineStr">
        <is>
          <t>QUARTILE.INC(ventes!M2:M481,3)</t>
        </is>
      </c>
      <c r="D13" s="8" t="n">
        <v>74234</v>
      </c>
      <c r="E13" s="8">
        <f>QUARTILE.INC(ventes!M2:M481,3)</f>
        <v/>
      </c>
      <c r="F13">
        <f>IF(EXACT(D13,E13),"ok","à revoir")</f>
        <v/>
      </c>
      <c r="G13" s="2" t="inlineStr">
        <is>
          <t>le IQR se lit dans la foulée</t>
        </is>
      </c>
    </row>
    <row r="14">
      <c r="A14" t="n">
        <v>13</v>
      </c>
      <c r="B14" t="inlineStr">
        <is>
          <t>NB.SI sur la quantité reçue</t>
        </is>
      </c>
      <c r="C14" s="7" t="inlineStr">
        <is>
          <t>COUNTIF(ventes_brutes!I2:I490,"&gt;500")</t>
        </is>
      </c>
      <c r="D14" s="8" t="n">
        <v>7</v>
      </c>
      <c r="E14" s="8">
        <f>COUNTIF(ventes_brutes!I2:I490,"&gt;500")</f>
        <v/>
      </c>
      <c r="F14">
        <f>IF(EXACT(D14,E14),"ok","à revoir")</f>
        <v/>
      </c>
      <c r="G14" s="2" t="inlineStr">
        <is>
          <t>les sept quantités hors échelle du fichier reçu</t>
        </is>
      </c>
    </row>
    <row r="15">
      <c r="A15" t="n">
        <v>14</v>
      </c>
      <c r="B15" t="inlineStr">
        <is>
          <t>SOMME.SI.ENS catégorie</t>
        </is>
      </c>
      <c r="C15" s="7" t="inlineStr">
        <is>
          <t>SUMIFS(ventes!M2:M481,ventes!H2:H481,"Plomberie")</t>
        </is>
      </c>
      <c r="D15" s="8" t="n">
        <v>8754982</v>
      </c>
      <c r="E15" s="8">
        <f>SUMIFS(ventes!M2:M481,ventes!H2:H481,"Plomberie")</f>
        <v/>
      </c>
      <c r="F15">
        <f>IF(EXACT(D15,E15),"ok","à revoir")</f>
        <v/>
      </c>
      <c r="G15" s="2" t="inlineStr">
        <is>
          <t>le CA d'un rayon, une condition</t>
        </is>
      </c>
    </row>
    <row r="16">
      <c r="A16" t="n">
        <v>15</v>
      </c>
      <c r="B16" t="inlineStr">
        <is>
          <t>MOYENNE.SI.ENS</t>
        </is>
      </c>
      <c r="C16" s="7" t="inlineStr">
        <is>
          <t>AVERAGEIFS(ventes!M2:M481,ventes!H2:H481,"Electricité")</t>
        </is>
      </c>
      <c r="D16" s="8" t="n">
        <v>119088</v>
      </c>
      <c r="E16" s="8">
        <f>AVERAGEIFS(ventes!M2:M481,ventes!H2:H481,"Electricité")</f>
        <v/>
      </c>
      <c r="F16">
        <f>IF(EXACT(D16,E16),"ok","à revoir")</f>
        <v/>
      </c>
      <c r="G16" s="2" t="inlineStr">
        <is>
          <t>moyenne conditionnelle</t>
        </is>
      </c>
    </row>
    <row r="17">
      <c r="A17" t="n">
        <v>16</v>
      </c>
      <c r="B17" t="inlineStr">
        <is>
          <t>NB.SI.ENS deux conditions</t>
        </is>
      </c>
      <c r="C17" s="7" t="inlineStr">
        <is>
          <t>COUNTIFS(ventes!H2:H481,"Peinture",ventes!K2:K481,"&gt;0")</t>
        </is>
      </c>
      <c r="D17" s="8" t="n">
        <v>8</v>
      </c>
      <c r="E17" s="8">
        <f>COUNTIFS(ventes!H2:H481,"Peinture",ventes!K2:K481,"&gt;0")</f>
        <v/>
      </c>
      <c r="F17">
        <f>IF(EXACT(D17,E17),"ok","à revoir")</f>
        <v/>
      </c>
      <c r="G17" s="2" t="inlineStr">
        <is>
          <t>les lignes remisées du rayon Peinture</t>
        </is>
      </c>
    </row>
    <row r="18">
      <c r="A18" t="n">
        <v>17</v>
      </c>
      <c r="B18" t="inlineStr">
        <is>
          <t>RECHERCHEV, le piège classique</t>
        </is>
      </c>
      <c r="C18" s="7" t="inlineStr">
        <is>
          <t>VLOOKUP(1229678,ventes!G2:J481,4,FALSE)</t>
        </is>
      </c>
      <c r="D18" s="8" t="e">
        <v>#N/A</v>
      </c>
      <c r="E18" s="8">
        <f>VLOOKUP(1229678,ventes!G2:J481,4,FALSE)</f>
        <v/>
      </c>
      <c r="F18">
        <f>IF(EXACT(D18,E18),"ok","à revoir")</f>
        <v/>
      </c>
      <c r="G18" s="2" t="inlineStr">
        <is>
          <t>la valeur cherchée n'est pas dans la PREMIÈRE colonne de la plage : c'est l'exercice 6.2</t>
        </is>
      </c>
    </row>
    <row r="19">
      <c r="A19" t="n">
        <v>18</v>
      </c>
      <c r="B19" t="inlineStr">
        <is>
          <t>RECHERCHEX, le même voyage</t>
        </is>
      </c>
      <c r="C19" s="7" t="inlineStr">
        <is>
          <t>XLOOKUP(ventes!M356,ventes!M2:M481,ventes!G2:G481,"non trouvé")</t>
        </is>
      </c>
      <c r="D19" s="8" t="inlineStr">
        <is>
          <t>Lame de lambris 4 m — réf 2</t>
        </is>
      </c>
      <c r="E19" s="8">
        <f>XLOOKUP(ventes!M356,ventes!M2:M481,ventes!G2:G481,"non trouvé")</f>
        <v/>
      </c>
      <c r="F19">
        <f>IF(EXACT(D19,E19),"ok","à revoir")</f>
        <v/>
      </c>
      <c r="G19" s="2" t="inlineStr">
        <is>
          <t>aucun numéro de colonne à compter, et un mot de secours en cas d'absence</t>
        </is>
      </c>
    </row>
    <row r="20">
      <c r="A20" t="n">
        <v>19</v>
      </c>
      <c r="B20" t="inlineStr">
        <is>
          <t>INDEX / EQUIV, la voie compatible</t>
        </is>
      </c>
      <c r="C20" s="7" t="inlineStr">
        <is>
          <t>INDEX(ventes!G2:G481,MATCH(MAX(ventes!M2:M481),ventes!M2:M481,0))</t>
        </is>
      </c>
      <c r="D20" s="8" t="inlineStr">
        <is>
          <t>Lame de lambris 4 m — réf 2</t>
        </is>
      </c>
      <c r="E20" s="8">
        <f>INDEX(ventes!G2:G481,MATCH(MAX(ventes!M2:M481),ventes!M2:M481,0))</f>
        <v/>
      </c>
      <c r="F20">
        <f>IF(EXACT(D20,E20),"ok","à revoir")</f>
        <v/>
      </c>
      <c r="G20" s="2" t="inlineStr">
        <is>
          <t>ce que vous écrivez en 2019 et sous LibreOffice</t>
        </is>
      </c>
    </row>
    <row r="21">
      <c r="A21" t="n">
        <v>20</v>
      </c>
      <c r="B21" t="inlineStr">
        <is>
          <t>EQUIV · la position</t>
        </is>
      </c>
      <c r="C21" s="7" t="inlineStr">
        <is>
          <t>MATCH(MAX(ventes!M2:M481),ventes!M2:M481,0)</t>
        </is>
      </c>
      <c r="D21" s="8" t="n">
        <v>355</v>
      </c>
      <c r="E21" s="8">
        <f>MATCH(MAX(ventes!M2:M481),ventes!M2:M481,0)</f>
        <v/>
      </c>
      <c r="F21">
        <f>IF(EXACT(D21,E21),"ok","à revoir")</f>
        <v/>
      </c>
      <c r="G21" s="2" t="inlineStr">
        <is>
          <t>position dans la plage ; ajoutez 1 pour obtenir la ligne du classeur, et vérifiez : M356</t>
        </is>
      </c>
    </row>
    <row r="22">
      <c r="A22" t="n">
        <v>21</v>
      </c>
      <c r="B22" t="inlineStr">
        <is>
          <t>Tester si la colonne est entièrement numérique</t>
        </is>
      </c>
      <c r="C22" s="7" t="inlineStr">
        <is>
          <t>IF(COUNT(ventes_brutes!M2:M490)=COUNTA(ventes_brutes!M2:M490),"tout est nombre","du texte s’est glissé")</t>
        </is>
      </c>
      <c r="D22" s="8" t="inlineStr">
        <is>
          <t>du texte s’est glissé</t>
        </is>
      </c>
      <c r="E22" s="8">
        <f>IF(COUNT(ventes_brutes!M2:M490)=COUNTA(ventes_brutes!M2:M490),"tout est nombre","du texte s’est glissé")</f>
        <v/>
      </c>
      <c r="F22">
        <f>IF(EXACT(D22,E22),"ok","à revoir")</f>
        <v/>
      </c>
      <c r="G22" s="2" t="inlineStr">
        <is>
          <t>NB = NBVAL est le test de conformité d'une colonne numérique ; à écrire une fois par fichier, pas une fois par question</t>
        </is>
      </c>
    </row>
    <row r="23">
      <c r="A23" t="n">
        <v>22</v>
      </c>
      <c r="B23" t="inlineStr">
        <is>
          <t>Réparer une cellule</t>
        </is>
      </c>
      <c r="C23" s="7" t="inlineStr">
        <is>
          <t>VALUE(SUBSTITUTE(ventes_brutes!M2," ",""))</t>
        </is>
      </c>
      <c r="D23" s="8" t="n">
        <v>56658</v>
      </c>
      <c r="E23" s="8">
        <f>VALUE(SUBSTITUTE(ventes_brutes!M2," ",""))</f>
        <v/>
      </c>
      <c r="F23">
        <f>IF(EXACT(D23,E23),"ok","à revoir")</f>
        <v/>
      </c>
      <c r="G23" s="2" t="inlineStr">
        <is>
          <t>la première ligne du fichier reçu, redevenue un nombre</t>
        </is>
      </c>
    </row>
    <row r="24">
      <c r="A24" t="n">
        <v>23</v>
      </c>
      <c r="B24" t="inlineStr">
        <is>
          <t>Joindre les valeurs distinctes</t>
        </is>
      </c>
      <c r="C24" s="7" t="inlineStr">
        <is>
          <t>TEXTJOIN(", ",TRUE,UNIQUE(ventes!H2:H481))</t>
        </is>
      </c>
      <c r="D24" s="8" t="inlineStr">
        <is>
          <t>Matériaux, Consommables, Quincaillerie, Plomberie, Electricité, Peinture, Bois &amp; panneaux</t>
        </is>
      </c>
      <c r="E24" s="8">
        <f>TEXTJOIN(", ",TRUE,UNIQUE(ventes!H2:H481))</f>
        <v/>
      </c>
      <c r="F24">
        <f>IF(EXACT(D24,E24),"ok","à revoir")</f>
        <v/>
      </c>
      <c r="G24" s="2" t="inlineStr">
        <is>
          <t>les sept rayons en une cellule, dans l'ordre du fichier</t>
        </is>
      </c>
    </row>
    <row r="25">
      <c r="A25" t="n">
        <v>24</v>
      </c>
      <c r="B25" t="inlineStr">
        <is>
          <t>JOURS OUVRES</t>
        </is>
      </c>
      <c r="C25" s="7" t="inlineStr">
        <is>
          <t>NETWORKDAYS(DATE(2025,1,1),DATE(2025,12,2))</t>
        </is>
      </c>
      <c r="D25" s="8" t="n">
        <v>240</v>
      </c>
      <c r="E25" s="8">
        <f>NETWORKDAYS(DATE(2025,1,1),DATE(2025,12,2))</f>
        <v/>
      </c>
      <c r="F25">
        <f>IF(EXACT(D25,E25),"ok","à revoir")</f>
        <v/>
      </c>
      <c r="G25" s="2" t="inlineStr">
        <is>
          <t>le dénominateur d'une moyenne journalière honnête</t>
        </is>
      </c>
    </row>
    <row r="26">
      <c r="A26" t="n">
        <v>25</v>
      </c>
      <c r="B26" t="inlineStr">
        <is>
          <t>Amplitude réelle de l'extrait</t>
        </is>
      </c>
      <c r="C26" s="7" t="inlineStr">
        <is>
          <t>MAX(ventes!B2:B481)-DATE(2025,1,1)</t>
        </is>
      </c>
      <c r="D26" s="8" t="n">
        <v>335</v>
      </c>
      <c r="E26" s="8">
        <f>MAX(ventes!B2:B481)-DATE(2025,1,1)</f>
        <v/>
      </c>
      <c r="F26">
        <f>IF(EXACT(D26,E26),"ok","à revoir")</f>
        <v/>
      </c>
      <c r="G26" s="2" t="inlineStr">
        <is>
          <t>une soustraction de dates rend un nombre de jours ; c'est plus lisible que DATEDIF et cela marche partout</t>
        </is>
      </c>
    </row>
    <row r="27">
      <c r="A27" t="n">
        <v>26</v>
      </c>
      <c r="B27" t="inlineStr">
        <is>
          <t>Attraper l'erreur</t>
        </is>
      </c>
      <c r="C27" s="7" t="inlineStr">
        <is>
          <t>IFERROR(1/0,"rien à afficher")</t>
        </is>
      </c>
      <c r="D27" s="8" t="inlineStr">
        <is>
          <t>rien à afficher</t>
        </is>
      </c>
      <c r="E27" s="8">
        <f>IFERROR(1/0,"rien à afficher")</f>
        <v/>
      </c>
      <c r="F27">
        <f>IF(EXACT(D27,E27),"ok","à revoir")</f>
        <v/>
      </c>
      <c r="G27" s="2" t="inlineStr">
        <is>
          <t>à n'utiliser que si vous savez quelle erreur vous cachez</t>
        </is>
      </c>
    </row>
    <row r="28">
      <c r="A28" t="n">
        <v>27</v>
      </c>
      <c r="B28" t="inlineStr">
        <is>
          <t>Contrôle de cohérence du montant</t>
        </is>
      </c>
      <c r="C28" s="7" t="inlineStr">
        <is>
          <t>ROUND(SUM(ventes!N2:N481)-SUM(ventes!L2:L481),0)</t>
        </is>
      </c>
      <c r="D28" s="8" t="n">
        <v>4</v>
      </c>
      <c r="E28" s="8">
        <f>ROUND(SUM(ventes!N2:N481)-SUM(ventes!L2:L481),0)</f>
        <v/>
      </c>
      <c r="F28">
        <f>IF(EXACT(D28,E28),"ok","à revoir")</f>
        <v/>
      </c>
      <c r="G28" s="2" t="inlineStr">
        <is>
          <t>la colonne utilitaire N recalcule quantité × prix × (1 − remise) ; l'écart avec le montant enregistré doit se compter en francs, pas en milliers</t>
        </is>
      </c>
    </row>
    <row r="29">
      <c r="A29" t="n">
        <v>28</v>
      </c>
      <c r="B29" t="inlineStr">
        <is>
          <t>Réalisation vs objectif, extrait</t>
        </is>
      </c>
      <c r="C29" s="7" t="inlineStr">
        <is>
          <t>SUM(ventes!M2:M481)/SUMIFS(objectifs!E2:E219,objectifs!A2:A219,5,objectifs!B2:B219,2025)</t>
        </is>
      </c>
      <c r="D29" s="9" t="n">
        <v>0.182</v>
      </c>
      <c r="E29" s="8">
        <f>SUM(ventes!M2:M481)/SUMIFS(objectifs!E2:E219,objectifs!A2:A219,5,objectifs!B2:B219,2025)</f>
        <v/>
      </c>
      <c r="F29">
        <f>IF(EXACT(D29,E29),"ok","à revoir")</f>
        <v/>
      </c>
      <c r="G29" s="2" t="inlineStr">
        <is>
          <t>18,2 % : ce ratio compare un extrait de 4 jours par mois à une cible annuelle. Il ne dit rien de la performance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6" customWidth="1" min="4" max="4"/>
    <col width="12" customWidth="1" min="5" max="5"/>
    <col width="15" customWidth="1" min="6" max="6"/>
  </cols>
  <sheetData>
    <row r="1">
      <c r="A1" s="3" t="inlineStr">
        <is>
          <t>categorie</t>
        </is>
      </c>
      <c r="B1" s="3" t="inlineStr">
        <is>
          <t>lignes</t>
        </is>
      </c>
      <c r="C1" s="3" t="inlineStr">
        <is>
          <t>CA (FCFA)</t>
        </is>
      </c>
      <c r="D1" s="3" t="inlineStr">
        <is>
          <t>moyenne par ligne</t>
        </is>
      </c>
      <c r="E1" s="3" t="inlineStr">
        <is>
          <t>part du CA</t>
        </is>
      </c>
      <c r="F1" s="3" t="inlineStr">
        <is>
          <t>lignes remisées</t>
        </is>
      </c>
    </row>
    <row r="2">
      <c r="A2" t="inlineStr">
        <is>
          <t>Matériaux</t>
        </is>
      </c>
      <c r="B2">
        <f>COUNTIFS(ventes!H2:H481,$A2)</f>
        <v/>
      </c>
      <c r="C2" s="5">
        <f>SUMIFS(ventes!M2:M481,ventes!H2:H481,$A2)</f>
        <v/>
      </c>
      <c r="D2" s="5">
        <f>IFERROR(C2/B2,"")</f>
        <v/>
      </c>
      <c r="E2" s="10">
        <f>IFERROR(C2/$C$9,"")</f>
        <v/>
      </c>
      <c r="F2">
        <f>COUNTIFS(ventes!H2:H481,$A2,ventes!K2:K481,"&gt;0")</f>
        <v/>
      </c>
    </row>
    <row r="3">
      <c r="A3" t="inlineStr">
        <is>
          <t>Consommables</t>
        </is>
      </c>
      <c r="B3">
        <f>COUNTIFS(ventes!H2:H481,$A3)</f>
        <v/>
      </c>
      <c r="C3" s="5">
        <f>SUMIFS(ventes!M2:M481,ventes!H2:H481,$A3)</f>
        <v/>
      </c>
      <c r="D3" s="5">
        <f>IFERROR(C3/B3,"")</f>
        <v/>
      </c>
      <c r="E3" s="10">
        <f>IFERROR(C3/$C$9,"")</f>
        <v/>
      </c>
      <c r="F3">
        <f>COUNTIFS(ventes!H2:H481,$A3,ventes!K2:K481,"&gt;0")</f>
        <v/>
      </c>
    </row>
    <row r="4">
      <c r="A4" t="inlineStr">
        <is>
          <t>Quincaillerie</t>
        </is>
      </c>
      <c r="B4">
        <f>COUNTIFS(ventes!H2:H481,$A4)</f>
        <v/>
      </c>
      <c r="C4" s="5">
        <f>SUMIFS(ventes!M2:M481,ventes!H2:H481,$A4)</f>
        <v/>
      </c>
      <c r="D4" s="5">
        <f>IFERROR(C4/B4,"")</f>
        <v/>
      </c>
      <c r="E4" s="10">
        <f>IFERROR(C4/$C$9,"")</f>
        <v/>
      </c>
      <c r="F4">
        <f>COUNTIFS(ventes!H2:H481,$A4,ventes!K2:K481,"&gt;0")</f>
        <v/>
      </c>
    </row>
    <row r="5">
      <c r="A5" t="inlineStr">
        <is>
          <t>Plomberie</t>
        </is>
      </c>
      <c r="B5">
        <f>COUNTIFS(ventes!H2:H481,$A5)</f>
        <v/>
      </c>
      <c r="C5" s="5">
        <f>SUMIFS(ventes!M2:M481,ventes!H2:H481,$A5)</f>
        <v/>
      </c>
      <c r="D5" s="5">
        <f>IFERROR(C5/B5,"")</f>
        <v/>
      </c>
      <c r="E5" s="10">
        <f>IFERROR(C5/$C$9,"")</f>
        <v/>
      </c>
      <c r="F5">
        <f>COUNTIFS(ventes!H2:H481,$A5,ventes!K2:K481,"&gt;0")</f>
        <v/>
      </c>
    </row>
    <row r="6">
      <c r="A6" t="inlineStr">
        <is>
          <t>Electricité</t>
        </is>
      </c>
      <c r="B6">
        <f>COUNTIFS(ventes!H2:H481,$A6)</f>
        <v/>
      </c>
      <c r="C6" s="5">
        <f>SUMIFS(ventes!M2:M481,ventes!H2:H481,$A6)</f>
        <v/>
      </c>
      <c r="D6" s="5">
        <f>IFERROR(C6/B6,"")</f>
        <v/>
      </c>
      <c r="E6" s="10">
        <f>IFERROR(C6/$C$9,"")</f>
        <v/>
      </c>
      <c r="F6">
        <f>COUNTIFS(ventes!H2:H481,$A6,ventes!K2:K481,"&gt;0")</f>
        <v/>
      </c>
    </row>
    <row r="7">
      <c r="A7" t="inlineStr">
        <is>
          <t>Peinture</t>
        </is>
      </c>
      <c r="B7">
        <f>COUNTIFS(ventes!H2:H481,$A7)</f>
        <v/>
      </c>
      <c r="C7" s="5">
        <f>SUMIFS(ventes!M2:M481,ventes!H2:H481,$A7)</f>
        <v/>
      </c>
      <c r="D7" s="5">
        <f>IFERROR(C7/B7,"")</f>
        <v/>
      </c>
      <c r="E7" s="10">
        <f>IFERROR(C7/$C$9,"")</f>
        <v/>
      </c>
      <c r="F7">
        <f>COUNTIFS(ventes!H2:H481,$A7,ventes!K2:K481,"&gt;0")</f>
        <v/>
      </c>
    </row>
    <row r="8">
      <c r="A8" t="inlineStr">
        <is>
          <t>Bois &amp; panneaux</t>
        </is>
      </c>
      <c r="B8">
        <f>COUNTIFS(ventes!H2:H481,$A8)</f>
        <v/>
      </c>
      <c r="C8" s="5">
        <f>SUMIFS(ventes!M2:M481,ventes!H2:H481,$A8)</f>
        <v/>
      </c>
      <c r="D8" s="5">
        <f>IFERROR(C8/B8,"")</f>
        <v/>
      </c>
      <c r="E8" s="10">
        <f>IFERROR(C8/$C$9,"")</f>
        <v/>
      </c>
      <c r="F8">
        <f>COUNTIFS(ventes!H2:H481,$A8,ventes!K2:K481,"&gt;0")</f>
        <v/>
      </c>
    </row>
    <row r="9">
      <c r="A9" s="11" t="inlineStr">
        <is>
          <t>Total</t>
        </is>
      </c>
      <c r="B9" s="11">
        <f>SUM(B2:B8)</f>
        <v/>
      </c>
      <c r="C9" s="12">
        <f>SUM(C2:C8)</f>
        <v/>
      </c>
      <c r="D9" s="12">
        <f>C9/B9</f>
        <v/>
      </c>
      <c r="E9" s="13">
        <f>SUM(E2:E8)</f>
        <v/>
      </c>
      <c r="F9" s="11">
        <f>SUM(F2:F8)</f>
        <v/>
      </c>
    </row>
    <row r="11">
      <c r="A11" s="2" t="inlineStr">
        <is>
          <t>Le TOTAL de la ligne CA doit être exactement le total de la feuille : s'il diffère d'un centime, un filtre est resté actif quelque part.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0" customWidth="1" min="4" max="4"/>
    <col width="14" customWidth="1" min="5" max="5"/>
    <col width="16" customWidth="1" min="6" max="6"/>
  </cols>
  <sheetData>
    <row r="1">
      <c r="A1" s="3" t="inlineStr">
        <is>
          <t>mois</t>
        </is>
      </c>
      <c r="B1" s="3" t="inlineStr">
        <is>
          <t>CA de l'extrait (FCFA)</t>
        </is>
      </c>
      <c r="C1" s="3" t="inlineStr">
        <is>
          <t>nb de lignes</t>
        </is>
      </c>
      <c r="D1" s="3" t="inlineStr">
        <is>
          <t>objectif magasin 5</t>
        </is>
      </c>
      <c r="E1" s="3" t="inlineStr">
        <is>
          <t>CA / objectif</t>
        </is>
      </c>
      <c r="F1" s="3" t="inlineStr">
        <is>
          <t>jours ouvrés du mois</t>
        </is>
      </c>
    </row>
    <row r="2">
      <c r="A2" t="n">
        <v>1</v>
      </c>
      <c r="B2" s="5">
        <f>SUMIFS(ventes!M2:M481,ventes!B2:B481,"&gt;="&amp;DATE(2025,$A2,1),ventes!B2:B481,"&lt;"&amp;DATE(2025,$A2+1,1))</f>
        <v/>
      </c>
      <c r="C2">
        <f>COUNTIFS(ventes!B2:B481,"&gt;="&amp;DATE(2025,$A2,1),ventes!B2:B481,"&lt;"&amp;DATE(2025,$A2+1,1))</f>
        <v/>
      </c>
      <c r="D2" s="5">
        <f>SUMIFS(objectifs!E2:E219,objectifs!A2:A219,5,objectifs!B2:B219,2025,objectifs!C2:C219,$A2)</f>
        <v/>
      </c>
      <c r="E2" s="6">
        <f>IFERROR(B2/D2,"objectif absent")</f>
        <v/>
      </c>
      <c r="F2">
        <f>NETWORKDAYS(DATE(2025,$A2,1),EOMONTH(DATE(2025,$A2,1),0))</f>
        <v/>
      </c>
    </row>
    <row r="3">
      <c r="A3" t="n">
        <v>2</v>
      </c>
      <c r="B3" s="5">
        <f>SUMIFS(ventes!M2:M481,ventes!B2:B481,"&gt;="&amp;DATE(2025,$A3,1),ventes!B2:B481,"&lt;"&amp;DATE(2025,$A3+1,1))</f>
        <v/>
      </c>
      <c r="C3">
        <f>COUNTIFS(ventes!B2:B481,"&gt;="&amp;DATE(2025,$A3,1),ventes!B2:B481,"&lt;"&amp;DATE(2025,$A3+1,1))</f>
        <v/>
      </c>
      <c r="D3" s="5">
        <f>SUMIFS(objectifs!E2:E219,objectifs!A2:A219,5,objectifs!B2:B219,2025,objectifs!C2:C219,$A3)</f>
        <v/>
      </c>
      <c r="E3" s="6">
        <f>IFERROR(B3/D3,"objectif absent")</f>
        <v/>
      </c>
      <c r="F3">
        <f>NETWORKDAYS(DATE(2025,$A3,1),EOMONTH(DATE(2025,$A3,1),0))</f>
        <v/>
      </c>
    </row>
    <row r="4">
      <c r="A4" t="n">
        <v>3</v>
      </c>
      <c r="B4" s="5">
        <f>SUMIFS(ventes!M2:M481,ventes!B2:B481,"&gt;="&amp;DATE(2025,$A4,1),ventes!B2:B481,"&lt;"&amp;DATE(2025,$A4+1,1))</f>
        <v/>
      </c>
      <c r="C4">
        <f>COUNTIFS(ventes!B2:B481,"&gt;="&amp;DATE(2025,$A4,1),ventes!B2:B481,"&lt;"&amp;DATE(2025,$A4+1,1))</f>
        <v/>
      </c>
      <c r="D4" s="5">
        <f>SUMIFS(objectifs!E2:E219,objectifs!A2:A219,5,objectifs!B2:B219,2025,objectifs!C2:C219,$A4)</f>
        <v/>
      </c>
      <c r="E4" s="6">
        <f>IFERROR(B4/D4,"objectif absent")</f>
        <v/>
      </c>
      <c r="F4">
        <f>NETWORKDAYS(DATE(2025,$A4,1),EOMONTH(DATE(2025,$A4,1),0))</f>
        <v/>
      </c>
    </row>
    <row r="5">
      <c r="A5" t="n">
        <v>4</v>
      </c>
      <c r="B5" s="5">
        <f>SUMIFS(ventes!M2:M481,ventes!B2:B481,"&gt;="&amp;DATE(2025,$A5,1),ventes!B2:B481,"&lt;"&amp;DATE(2025,$A5+1,1))</f>
        <v/>
      </c>
      <c r="C5">
        <f>COUNTIFS(ventes!B2:B481,"&gt;="&amp;DATE(2025,$A5,1),ventes!B2:B481,"&lt;"&amp;DATE(2025,$A5+1,1))</f>
        <v/>
      </c>
      <c r="D5" s="5">
        <f>SUMIFS(objectifs!E2:E219,objectifs!A2:A219,5,objectifs!B2:B219,2025,objectifs!C2:C219,$A5)</f>
        <v/>
      </c>
      <c r="E5" s="6">
        <f>IFERROR(B5/D5,"objectif absent")</f>
        <v/>
      </c>
      <c r="F5">
        <f>NETWORKDAYS(DATE(2025,$A5,1),EOMONTH(DATE(2025,$A5,1),0))</f>
        <v/>
      </c>
    </row>
    <row r="6">
      <c r="A6" t="n">
        <v>5</v>
      </c>
      <c r="B6" s="5">
        <f>SUMIFS(ventes!M2:M481,ventes!B2:B481,"&gt;="&amp;DATE(2025,$A6,1),ventes!B2:B481,"&lt;"&amp;DATE(2025,$A6+1,1))</f>
        <v/>
      </c>
      <c r="C6">
        <f>COUNTIFS(ventes!B2:B481,"&gt;="&amp;DATE(2025,$A6,1),ventes!B2:B481,"&lt;"&amp;DATE(2025,$A6+1,1))</f>
        <v/>
      </c>
      <c r="D6" s="5">
        <f>SUMIFS(objectifs!E2:E219,objectifs!A2:A219,5,objectifs!B2:B219,2025,objectifs!C2:C219,$A6)</f>
        <v/>
      </c>
      <c r="E6" s="6">
        <f>IFERROR(B6/D6,"objectif absent")</f>
        <v/>
      </c>
      <c r="F6">
        <f>NETWORKDAYS(DATE(2025,$A6,1),EOMONTH(DATE(2025,$A6,1),0))</f>
        <v/>
      </c>
    </row>
    <row r="7">
      <c r="A7" t="n">
        <v>6</v>
      </c>
      <c r="B7" s="5">
        <f>SUMIFS(ventes!M2:M481,ventes!B2:B481,"&gt;="&amp;DATE(2025,$A7,1),ventes!B2:B481,"&lt;"&amp;DATE(2025,$A7+1,1))</f>
        <v/>
      </c>
      <c r="C7">
        <f>COUNTIFS(ventes!B2:B481,"&gt;="&amp;DATE(2025,$A7,1),ventes!B2:B481,"&lt;"&amp;DATE(2025,$A7+1,1))</f>
        <v/>
      </c>
      <c r="D7" s="5">
        <f>SUMIFS(objectifs!E2:E219,objectifs!A2:A219,5,objectifs!B2:B219,2025,objectifs!C2:C219,$A7)</f>
        <v/>
      </c>
      <c r="E7" s="6">
        <f>IFERROR(B7/D7,"objectif absent")</f>
        <v/>
      </c>
      <c r="F7">
        <f>NETWORKDAYS(DATE(2025,$A7,1),EOMONTH(DATE(2025,$A7,1),0))</f>
        <v/>
      </c>
    </row>
    <row r="8">
      <c r="A8" t="n">
        <v>7</v>
      </c>
      <c r="B8" s="5">
        <f>SUMIFS(ventes!M2:M481,ventes!B2:B481,"&gt;="&amp;DATE(2025,$A8,1),ventes!B2:B481,"&lt;"&amp;DATE(2025,$A8+1,1))</f>
        <v/>
      </c>
      <c r="C8">
        <f>COUNTIFS(ventes!B2:B481,"&gt;="&amp;DATE(2025,$A8,1),ventes!B2:B481,"&lt;"&amp;DATE(2025,$A8+1,1))</f>
        <v/>
      </c>
      <c r="D8" s="5">
        <f>SUMIFS(objectifs!E2:E219,objectifs!A2:A219,5,objectifs!B2:B219,2025,objectifs!C2:C219,$A8)</f>
        <v/>
      </c>
      <c r="E8" s="6">
        <f>IFERROR(B8/D8,"objectif absent")</f>
        <v/>
      </c>
      <c r="F8">
        <f>NETWORKDAYS(DATE(2025,$A8,1),EOMONTH(DATE(2025,$A8,1),0))</f>
        <v/>
      </c>
    </row>
    <row r="9">
      <c r="A9" t="n">
        <v>8</v>
      </c>
      <c r="B9" s="5">
        <f>SUMIFS(ventes!M2:M481,ventes!B2:B481,"&gt;="&amp;DATE(2025,$A9,1),ventes!B2:B481,"&lt;"&amp;DATE(2025,$A9+1,1))</f>
        <v/>
      </c>
      <c r="C9">
        <f>COUNTIFS(ventes!B2:B481,"&gt;="&amp;DATE(2025,$A9,1),ventes!B2:B481,"&lt;"&amp;DATE(2025,$A9+1,1))</f>
        <v/>
      </c>
      <c r="D9" s="5">
        <f>SUMIFS(objectifs!E2:E219,objectifs!A2:A219,5,objectifs!B2:B219,2025,objectifs!C2:C219,$A9)</f>
        <v/>
      </c>
      <c r="E9" s="6">
        <f>IFERROR(B9/D9,"objectif absent")</f>
        <v/>
      </c>
      <c r="F9">
        <f>NETWORKDAYS(DATE(2025,$A9,1),EOMONTH(DATE(2025,$A9,1),0))</f>
        <v/>
      </c>
    </row>
    <row r="10">
      <c r="A10" t="n">
        <v>9</v>
      </c>
      <c r="B10" s="5">
        <f>SUMIFS(ventes!M2:M481,ventes!B2:B481,"&gt;="&amp;DATE(2025,$A10,1),ventes!B2:B481,"&lt;"&amp;DATE(2025,$A10+1,1))</f>
        <v/>
      </c>
      <c r="C10">
        <f>COUNTIFS(ventes!B2:B481,"&gt;="&amp;DATE(2025,$A10,1),ventes!B2:B481,"&lt;"&amp;DATE(2025,$A10+1,1))</f>
        <v/>
      </c>
      <c r="D10" s="5">
        <f>SUMIFS(objectifs!E2:E219,objectifs!A2:A219,5,objectifs!B2:B219,2025,objectifs!C2:C219,$A10)</f>
        <v/>
      </c>
      <c r="E10" s="6">
        <f>IFERROR(B10/D10,"objectif absent")</f>
        <v/>
      </c>
      <c r="F10">
        <f>NETWORKDAYS(DATE(2025,$A10,1),EOMONTH(DATE(2025,$A10,1),0))</f>
        <v/>
      </c>
    </row>
    <row r="11">
      <c r="A11" t="n">
        <v>10</v>
      </c>
      <c r="B11" s="5">
        <f>SUMIFS(ventes!M2:M481,ventes!B2:B481,"&gt;="&amp;DATE(2025,$A11,1),ventes!B2:B481,"&lt;"&amp;DATE(2025,$A11+1,1))</f>
        <v/>
      </c>
      <c r="C11">
        <f>COUNTIFS(ventes!B2:B481,"&gt;="&amp;DATE(2025,$A11,1),ventes!B2:B481,"&lt;"&amp;DATE(2025,$A11+1,1))</f>
        <v/>
      </c>
      <c r="D11" s="5">
        <f>SUMIFS(objectifs!E2:E219,objectifs!A2:A219,5,objectifs!B2:B219,2025,objectifs!C2:C219,$A11)</f>
        <v/>
      </c>
      <c r="E11" s="6">
        <f>IFERROR(B11/D11,"objectif absent")</f>
        <v/>
      </c>
      <c r="F11">
        <f>NETWORKDAYS(DATE(2025,$A11,1),EOMONTH(DATE(2025,$A11,1),0))</f>
        <v/>
      </c>
    </row>
    <row r="12">
      <c r="A12" t="n">
        <v>11</v>
      </c>
      <c r="B12" s="5">
        <f>SUMIFS(ventes!M2:M481,ventes!B2:B481,"&gt;="&amp;DATE(2025,$A12,1),ventes!B2:B481,"&lt;"&amp;DATE(2025,$A12+1,1))</f>
        <v/>
      </c>
      <c r="C12">
        <f>COUNTIFS(ventes!B2:B481,"&gt;="&amp;DATE(2025,$A12,1),ventes!B2:B481,"&lt;"&amp;DATE(2025,$A12+1,1))</f>
        <v/>
      </c>
      <c r="D12" s="5">
        <f>SUMIFS(objectifs!E2:E219,objectifs!A2:A219,5,objectifs!B2:B219,2025,objectifs!C2:C219,$A12)</f>
        <v/>
      </c>
      <c r="E12" s="6">
        <f>IFERROR(B12/D12,"objectif absent")</f>
        <v/>
      </c>
      <c r="F12">
        <f>NETWORKDAYS(DATE(2025,$A12,1),EOMONTH(DATE(2025,$A12,1),0))</f>
        <v/>
      </c>
    </row>
    <row r="13">
      <c r="A13" t="n">
        <v>12</v>
      </c>
      <c r="B13" s="5">
        <f>SUMIFS(ventes!M2:M481,ventes!B2:B481,"&gt;="&amp;DATE(2025,$A13,1),ventes!B2:B481,"&lt;"&amp;DATE(2025,$A13+1,1))</f>
        <v/>
      </c>
      <c r="C13">
        <f>COUNTIFS(ventes!B2:B481,"&gt;="&amp;DATE(2025,$A13,1),ventes!B2:B481,"&lt;"&amp;DATE(2025,$A13+1,1))</f>
        <v/>
      </c>
      <c r="D13" s="5">
        <f>SUMIFS(objectifs!E2:E219,objectifs!A2:A219,5,objectifs!B2:B219,2025,objectifs!C2:C219,$A13)</f>
        <v/>
      </c>
      <c r="E13" s="6">
        <f>IFERROR(B13/D13,"objectif absent")</f>
        <v/>
      </c>
      <c r="F13">
        <f>NETWORKDAYS(DATE(2025,$A13,1),EOMONTH(DATE(2025,$A13,1),0))</f>
        <v/>
      </c>
    </row>
    <row r="15">
      <c r="A15" s="11" t="inlineStr">
        <is>
          <t>Total</t>
        </is>
      </c>
      <c r="B15" s="12">
        <f>SUM(B2:B13)</f>
        <v/>
      </c>
      <c r="C15" s="11">
        <f>SUM(C2:C13)</f>
        <v/>
      </c>
      <c r="D15" s="12">
        <f>SUM(D2:D13)</f>
        <v/>
      </c>
      <c r="E15" s="14">
        <f>IFERROR(B15/D15,"")</f>
        <v/>
      </c>
      <c r="F15" s="11" t="n"/>
    </row>
    <row r="17">
      <c r="A17" s="2" t="inlineStr">
        <is>
          <t>Lecture honnête du ratio CA / objectif : ici l'extrait ne couvre que les jours 1 à 4 de chaque mois (voir M02.C07), donc ce ratio ne mesure PAS la performance annuelle du magasin. Il mesure un extrait. La population entière donne un rapport de 1.62 à 3.27 selon le magasin-mois (le projet M03.P le discutera avec le fichier complet) : avant de parler de surperformance, on vérifie l'échelle du fichier d'objectifs.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2026-09-18T13:00:16Z</dcterms:created>
  <dcterms:modified xmlns:dcterms="http://purl.org/dc/terms/" xmlns:xsi="http://www.w3.org/2001/XMLSchema-instance" xsi:type="dcterms:W3CDTF">2026-09-18T13:00:16Z</dcterms:modified>
</cp:coreProperties>
</file>